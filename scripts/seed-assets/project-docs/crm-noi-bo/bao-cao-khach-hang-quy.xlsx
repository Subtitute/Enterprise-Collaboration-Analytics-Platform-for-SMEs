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Thông tin" sheetId="1" r:id="rId1"/>
    <sheet name="Tổng hợp" sheetId="2" r:id="rId2"/>
    <sheet name="Khách hàng" sheetId="3" r:id="rId3"/>
    <sheet name="Cơ hội" sheetId="4" r:id="rId4"/>
    <sheet name="Tham số" sheetId="5" r:id="rId5"/>
  </sheets>
  <definedNames>
    <definedName name="_xlnm._FilterDatabase" localSheetId="2" hidden="1">'Khách hàng'!$A$4:$O$16</definedName>
    <definedName name="_xlnm._FilterDatabase" localSheetId="3" hidden="1">'Cơ hội'!$A$4:$M$28</definedName>
    <definedName name="DS_GiaiDoan">'Tham số'!$B$5:$B$10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<sst xmlns="http://schemas.openxmlformats.org/spreadsheetml/2006/main" count="378" uniqueCount="263">
  <si>
    <t>Báo cáo khách hàng và cơ hội bán hàng quý</t>
  </si>
  <si>
    <t>Dự án</t>
  </si>
  <si>
    <t>Triển khai CRM nội bộ</t>
  </si>
  <si>
    <t>Nền tảng</t>
  </si>
  <si>
    <t>ECAP — nền tảng cộng tác và phân tích dữ liệu cho doanh nghiệp vừa và nhỏ</t>
  </si>
  <si>
    <t>Đơn vị</t>
  </si>
  <si>
    <t>Công ty Demo SME (kinh doanh máy tính, linh kiện và phụ kiện)</t>
  </si>
  <si>
    <t>Người đọc</t>
  </si>
  <si>
    <t>Trưởng phòng Kinh doanh</t>
  </si>
  <si>
    <t>Phiên bản</t>
  </si>
  <si>
    <t>1.0</t>
  </si>
  <si>
    <t>Ngày phát hành</t>
  </si>
  <si>
    <t>Phân loại</t>
  </si>
  <si>
    <t>Tài liệu nội bộ — Công ty Demo SME — dùng cho mục đích minh hoạ đồ án</t>
  </si>
  <si>
    <t>Số liệu</t>
  </si>
  <si>
    <t>Giá trị cơ hội, xác suất chốt, phân loại khách hàng và người phụ trách là số liệu minh hoạ.</t>
  </si>
  <si>
    <t>Chú giải</t>
  </si>
  <si>
    <t>Giá trị mẫu</t>
  </si>
  <si>
    <t>Ô nhập liệu (nền vàng, chữ xanh): người dùng được sửa hoặc nhập mới; mọi công thức tự tính lại.</t>
  </si>
  <si>
    <t>Công thức</t>
  </si>
  <si>
    <t>Ô công thức (nền trắng, chữ đen): tính tự động, không nhập đè.</t>
  </si>
  <si>
    <t>Tiêu đề</t>
  </si>
  <si>
    <t>Dòng tiêu đề bảng: đã cố định (freeze) và bật bộ lọc.</t>
  </si>
  <si>
    <t>Cấu trúc workbook</t>
  </si>
  <si>
    <t>Tổng hợp</t>
  </si>
  <si>
    <t>Pipeline theo giai đoạn, theo loại khách hàng, theo người phụ trách và chỉ số của kỳ báo cáo (SUMIFS/COUNTIFS), kèm biểu đồ.</t>
  </si>
  <si>
    <t>Khách hàng</t>
  </si>
  <si>
    <t>12 khách hàng demo; số cơ hội và giá trị mỗi khách hàng tính bằng COUNTIFS/SUMIFS từ sheet Cơ hội.</t>
  </si>
  <si>
    <t>Cơ hội</t>
  </si>
  <si>
    <t>24 cơ hội bán hàng (deal); xác suất, giá trị gia quyền, quý chốt và người phụ trách tính bằng INDEX/MATCH.</t>
  </si>
  <si>
    <t>Tham số</t>
  </si>
  <si>
    <t>Giai đoạn pipeline và xác suất chốt; kỳ báo cáo (ngày bắt đầu/kết thúc) — đều là ô nhập liệu.</t>
  </si>
  <si>
    <t>Giả định và nguồn dữ liệu</t>
  </si>
  <si>
    <t>1.</t>
  </si>
  <si>
    <t>Khách hàng (tên công ty, người liên hệ, email, điện thoại, ghi chú) và cơ hội (tên, giá trị, giai đoạn) lấy từ dữ liệu mẫu CRM của ECAP (scripts/seed.js). Các công ty đều là tên hư cấu.</t>
  </si>
  <si>
    <t>2.</t>
  </si>
  <si>
    <t>Tên giai đoạn trùng nhãn trên Kanban deal của web-app ECAP: Mới, Đã liên hệ, Đề xuất, Đàm phán, Hoàn thành, Thất bại. Tỷ lệ chốt = Hoàn thành / (Hoàn thành + Thất bại).</t>
  </si>
  <si>
    <t>3.</t>
  </si>
  <si>
    <t>Ngày dự kiến chốt = 26/10/2026 cộng độ lệch ngày của dữ liệu mẫu (âm = đã qua, dùng cho cơ hội Hoàn thành/Thất bại).</t>
  </si>
  <si>
    <t>4.</t>
  </si>
  <si>
    <t>Loại khách hàng (theo danh sách phân loại của form khách hàng trên ECAP) và người phụ trách (2 nhân viên phòng Kinh doanh trong dữ liệu mẫu) là phân công minh hoạ, suy ra từ ghi chú khách hàng.</t>
  </si>
  <si>
    <t>5.</t>
  </si>
  <si>
    <t>Phạm vi dữ liệu: từ 26/10/2026, Trưởng phòng (vai trò Manager) chỉ xem khách hàng do chính mình và nhân viên trong phòng phụ trách. Báo cáo này gồm khách hàng do nhân viên phòng Kinh doanh phụ trách, đúng phạm vi Trưởng phòng Kinh doanh xem được trên ECAP.</t>
  </si>
  <si>
    <t>6.</t>
  </si>
  <si>
    <t>Xác suất chốt theo giai đoạn (10%/20%/40%/60%/100%/0%) là giả định minh hoạ, sửa được ở sheet Tham số.</t>
  </si>
  <si>
    <t>7.</t>
  </si>
  <si>
    <t>Kỳ báo cáo mặc định là quý IV/2026 (01/10/2026 – 31/12/2026); đổi ngày ở sheet Tham số thì sheet Tổng hợp tự tính lại.</t>
  </si>
  <si>
    <t>8.</t>
  </si>
  <si>
    <t>Giá trị cơ hội tính bằng VND. Giá trị gia quyền = Giá trị dự kiến × Xác suất chốt.</t>
  </si>
  <si>
    <t>Tổng hợp khách hàng và pipeline bán hàng</t>
  </si>
  <si>
    <t>Toàn bộ số liệu là công thức SUMIFS/COUNTIFS; số liệu minh hoạ.</t>
  </si>
  <si>
    <t>1. Pipeline theo giai đoạn</t>
  </si>
  <si>
    <t>Giai đoạn</t>
  </si>
  <si>
    <t>Số cơ hội</t>
  </si>
  <si>
    <t>Tổng giá trị (VND)</t>
  </si>
  <si>
    <t>Giá trị gia quyền (VND)</t>
  </si>
  <si>
    <t>Tỷ trọng giá trị</t>
  </si>
  <si>
    <t>Trạng thái</t>
  </si>
  <si>
    <t>Tổng cộng</t>
  </si>
  <si>
    <t/>
  </si>
  <si>
    <t>2. Theo loại khách hàng</t>
  </si>
  <si>
    <t>Loại khách hàng</t>
  </si>
  <si>
    <t>Số khách hàng</t>
  </si>
  <si>
    <t>Giá trị Hoàn thành (VND)</t>
  </si>
  <si>
    <t>Giá trị đang mở (VND)</t>
  </si>
  <si>
    <t>Khách hàng thân thiết</t>
  </si>
  <si>
    <t>Khách hàng tiềm năng</t>
  </si>
  <si>
    <t>Khách hàng mới</t>
  </si>
  <si>
    <t>Khách hàng VIP</t>
  </si>
  <si>
    <t>3. Theo người phụ trách</t>
  </si>
  <si>
    <t>Người phụ trách</t>
  </si>
  <si>
    <t>Giá trị gia quyền đang mở (VND)</t>
  </si>
  <si>
    <t>Nguyễn Văn An</t>
  </si>
  <si>
    <t>Hoàng Văn Đức</t>
  </si>
  <si>
    <t>4. Chỉ số kỳ báo cáo</t>
  </si>
  <si>
    <t>Chỉ số</t>
  </si>
  <si>
    <t>Giá trị</t>
  </si>
  <si>
    <t>Cách tính</t>
  </si>
  <si>
    <t>Kỳ báo cáo</t>
  </si>
  <si>
    <t>Tên quý theo ngày bắt đầu kỳ (sheet Tham số)</t>
  </si>
  <si>
    <t>Từ ngày</t>
  </si>
  <si>
    <t>Sheet Tham số</t>
  </si>
  <si>
    <t>Đến ngày</t>
  </si>
  <si>
    <t>Số cơ hội có ngày chốt trong kỳ</t>
  </si>
  <si>
    <t>COUNTIFS theo ngày dự kiến chốt, mọi giai đoạn</t>
  </si>
  <si>
    <t>Giá trị đang mở dự kiến chốt trong kỳ (VND)</t>
  </si>
  <si>
    <t>SUMIFS, chỉ cơ hội đang mở</t>
  </si>
  <si>
    <t>Giá trị gia quyền đang mở trong kỳ (VND)</t>
  </si>
  <si>
    <t>SUMIFS cột gia quyền</t>
  </si>
  <si>
    <t>Số cơ hội Hoàn thành trong kỳ</t>
  </si>
  <si>
    <t>COUNTIFS giai đoạn Hoàn thành</t>
  </si>
  <si>
    <t>Giá trị Hoàn thành trong kỳ (VND)</t>
  </si>
  <si>
    <t>SUMIFS giai đoạn Hoàn thành</t>
  </si>
  <si>
    <t>Số cơ hội Thất bại trong kỳ</t>
  </si>
  <si>
    <t>COUNTIFS giai đoạn Thất bại</t>
  </si>
  <si>
    <t>Tỷ lệ chốt trong kỳ</t>
  </si>
  <si>
    <t>Hoàn thành / (Hoàn thành + Thất bại)</t>
  </si>
  <si>
    <t>Tỷ lệ chốt toàn bộ dữ liệu</t>
  </si>
  <si>
    <t>Không lọc theo kỳ</t>
  </si>
  <si>
    <t>Giá trị trung bình mỗi cơ hội (VND)</t>
  </si>
  <si>
    <t>Bỏ qua cơ hội demo giá trị 0 đồng</t>
  </si>
  <si>
    <t>Số khách hàng có cơ hội đang mở</t>
  </si>
  <si>
    <t>Khách hàng có giá trị đang mở &gt; 0</t>
  </si>
  <si>
    <t>Danh sách khách hàng</t>
  </si>
  <si>
    <t>Cột K–O là công thức lấy từ sheet Cơ hội.</t>
  </si>
  <si>
    <t>STT</t>
  </si>
  <si>
    <t>Mã KH</t>
  </si>
  <si>
    <t>Công ty</t>
  </si>
  <si>
    <t>Người liên hệ</t>
  </si>
  <si>
    <t>Email</t>
  </si>
  <si>
    <t>Điện thoại</t>
  </si>
  <si>
    <t>Phòng ban</t>
  </si>
  <si>
    <t>Ghi chú</t>
  </si>
  <si>
    <t>Tổng giá trị dự kiến (VND)</t>
  </si>
  <si>
    <t>KH-001</t>
  </si>
  <si>
    <t>Công ty TNHH Thương mại Đại Phát</t>
  </si>
  <si>
    <t>Nguyễn Thanh Tùng</t>
  </si>
  <si>
    <t>tung.nguyen@daiphat.vn</t>
  </si>
  <si>
    <t>0903123456</t>
  </si>
  <si>
    <t>Kinh doanh</t>
  </si>
  <si>
    <t>Khách hàng quen thuộc, chuyên phân phối hàng gia dụng</t>
  </si>
  <si>
    <t>KH-002</t>
  </si>
  <si>
    <t>Công ty CP Thực phẩm Hương Việt</t>
  </si>
  <si>
    <t>Trần Thị Mai Anh</t>
  </si>
  <si>
    <t>maianh.tran@huongviet.com.vn</t>
  </si>
  <si>
    <t>0912345678</t>
  </si>
  <si>
    <t>Đang mở rộng chuỗi cửa hàng tại TP.HCM</t>
  </si>
  <si>
    <t>KH-003</t>
  </si>
  <si>
    <t>Xưởng May Thành Công</t>
  </si>
  <si>
    <t>Lê Hoàng Nam</t>
  </si>
  <si>
    <t>nam.le@thanhcongtailor.vn</t>
  </si>
  <si>
    <t>0987654321</t>
  </si>
  <si>
    <t>Khách hàng tiềm năng, quan tâm gói CRM và quản lý kho</t>
  </si>
  <si>
    <t>KH-004</t>
  </si>
  <si>
    <t>Công ty TNHH Xây dựng Phú Cường</t>
  </si>
  <si>
    <t>Phạm Minh Đức</t>
  </si>
  <si>
    <t>duc.pham@phucuong.vn</t>
  </si>
  <si>
    <t>0977888999</t>
  </si>
  <si>
    <t>—</t>
  </si>
  <si>
    <t>KH-005</t>
  </si>
  <si>
    <t>Chuỗi Cà phê Hạt Dẻ</t>
  </si>
  <si>
    <t>Vũ Thị Ngọc Hà</t>
  </si>
  <si>
    <t>ha.vu@hatdecoffee.vn</t>
  </si>
  <si>
    <t>0909111222</t>
  </si>
  <si>
    <t>Muốn tích hợp quản lý nhân sự cho 5 chi nhánh</t>
  </si>
  <si>
    <t>KH-006</t>
  </si>
  <si>
    <t>Công ty CP Vận tải Bảo Long</t>
  </si>
  <si>
    <t>Đặng Quốc Bảo</t>
  </si>
  <si>
    <t>bao.dang@baolongtransport.vn</t>
  </si>
  <si>
    <t>0938222333</t>
  </si>
  <si>
    <t>KH-007</t>
  </si>
  <si>
    <t>Trung tâm Anh ngữ Global Link</t>
  </si>
  <si>
    <t>Hoàng Thị Thu Trang</t>
  </si>
  <si>
    <t>trang.hoang@globallink.edu.vn</t>
  </si>
  <si>
    <t>0918444555</t>
  </si>
  <si>
    <t>Khách hàng lâu năm, ký hợp đồng thường niên</t>
  </si>
  <si>
    <t>KH-008</t>
  </si>
  <si>
    <t>Công ty TNHH Cơ khí Chính Xác</t>
  </si>
  <si>
    <t>Bùi Văn Hùng</t>
  </si>
  <si>
    <t>hung.bui@cokhichinhxac.vn</t>
  </si>
  <si>
    <t>0944666777</t>
  </si>
  <si>
    <t>KH-009</t>
  </si>
  <si>
    <t>Siêu thị Mini Xanh</t>
  </si>
  <si>
    <t>Ngô Thị Kim Oanh</t>
  </si>
  <si>
    <t>oanh.ngo@sieuthixanh.vn</t>
  </si>
  <si>
    <t>0966777888</t>
  </si>
  <si>
    <t>Chuỗi 3 cửa hàng, cần báo cáo doanh số theo thời gian thực</t>
  </si>
  <si>
    <t>KH-010</t>
  </si>
  <si>
    <t>Công ty CP Công nghệ Việt Số</t>
  </si>
  <si>
    <t>Đỗ Anh Tuấn</t>
  </si>
  <si>
    <t>tuan.do@vietso.tech</t>
  </si>
  <si>
    <t>0922333444</t>
  </si>
  <si>
    <t>Đối tác công nghệ, hợp tác triển khai module tích hợp</t>
  </si>
  <si>
    <t>KH-011</t>
  </si>
  <si>
    <t>Nhà thuốc An Khang</t>
  </si>
  <si>
    <t>Lý Thị Bích Ngọc</t>
  </si>
  <si>
    <t>ngoc.ly@ankhangpharma.vn</t>
  </si>
  <si>
    <t>0955666111</t>
  </si>
  <si>
    <t>KH-012</t>
  </si>
  <si>
    <t>Công ty TNHH In ấn Sao Việt</t>
  </si>
  <si>
    <t>Trương Văn Long</t>
  </si>
  <si>
    <t>long.truong@saovietprint.vn</t>
  </si>
  <si>
    <t>0933555222</t>
  </si>
  <si>
    <t>Khách hàng mới, đang trong giai đoạn tư vấn</t>
  </si>
  <si>
    <t>Danh sách cơ hội bán hàng</t>
  </si>
  <si>
    <t>Cột C, G, H, J, K, L, M là công thức; giai đoạn chọn từ danh sách.</t>
  </si>
  <si>
    <t>Mã cơ hội</t>
  </si>
  <si>
    <t>Tên cơ hội</t>
  </si>
  <si>
    <t>Giá trị dự kiến (VND)</t>
  </si>
  <si>
    <t>Xác suất chốt</t>
  </si>
  <si>
    <t>Ngày dự kiến chốt</t>
  </si>
  <si>
    <t>Quý chốt</t>
  </si>
  <si>
    <t>Trong kỳ báo cáo</t>
  </si>
  <si>
    <t>CH-001</t>
  </si>
  <si>
    <t>Gói triển khai CRM cơ bản</t>
  </si>
  <si>
    <t>Hoàn thành</t>
  </si>
  <si>
    <t>CH-002</t>
  </si>
  <si>
    <t>Hợp đồng bảo trì hệ thống năm 2027</t>
  </si>
  <si>
    <t>Đàm phán</t>
  </si>
  <si>
    <t>CH-003</t>
  </si>
  <si>
    <t>Gói quản lý chuỗi cung ứng thực phẩm</t>
  </si>
  <si>
    <t>Đề xuất</t>
  </si>
  <si>
    <t>CH-004</t>
  </si>
  <si>
    <t>Dịch vụ tư vấn số hóa quy trình sản xuất</t>
  </si>
  <si>
    <t>Đã liên hệ</t>
  </si>
  <si>
    <t>CH-005</t>
  </si>
  <si>
    <t>Gói phần mềm quản lý kho vải</t>
  </si>
  <si>
    <t>Mới</t>
  </si>
  <si>
    <t>CH-006</t>
  </si>
  <si>
    <t>Demo dùng thử hệ thống CRM</t>
  </si>
  <si>
    <t>CH-007</t>
  </si>
  <si>
    <t>Hợp đồng quản lý dự án xây dựng</t>
  </si>
  <si>
    <t>CH-008</t>
  </si>
  <si>
    <t>Gói theo dõi tiến độ công trình</t>
  </si>
  <si>
    <t>Thất bại</t>
  </si>
  <si>
    <t>CH-009</t>
  </si>
  <si>
    <t>Gói quản lý nhân sự đa chi nhánh</t>
  </si>
  <si>
    <t>CH-010</t>
  </si>
  <si>
    <t>Gói báo cáo doanh thu theo chi nhánh</t>
  </si>
  <si>
    <t>CH-011</t>
  </si>
  <si>
    <t>Hợp đồng tích hợp hệ thống điều phối xe</t>
  </si>
  <si>
    <t>CH-012</t>
  </si>
  <si>
    <t>Gói theo dõi đơn hàng thời gian thực</t>
  </si>
  <si>
    <t>CH-013</t>
  </si>
  <si>
    <t>Gói quản lý học viên và lịch học</t>
  </si>
  <si>
    <t>CH-014</t>
  </si>
  <si>
    <t>Hợp đồng gia hạn dịch vụ năm 2</t>
  </si>
  <si>
    <t>CH-015</t>
  </si>
  <si>
    <t>Gói quản lý sản xuất và chất lượng</t>
  </si>
  <si>
    <t>CH-016</t>
  </si>
  <si>
    <t>Demo hệ thống theo dõi máy móc</t>
  </si>
  <si>
    <t>CH-017</t>
  </si>
  <si>
    <t>Gói quản lý bán lẻ đa cửa hàng</t>
  </si>
  <si>
    <t>CH-018</t>
  </si>
  <si>
    <t>Gói báo cáo doanh số thời gian thực</t>
  </si>
  <si>
    <t>CH-019</t>
  </si>
  <si>
    <t>Hợp đồng hợp tác tích hợp API</t>
  </si>
  <si>
    <t>CH-020</t>
  </si>
  <si>
    <t>Gói mở rộng module phân tích dữ liệu</t>
  </si>
  <si>
    <t>CH-021</t>
  </si>
  <si>
    <t>Gói quản lý kho thuốc và hạn dùng</t>
  </si>
  <si>
    <t>CH-022</t>
  </si>
  <si>
    <t>Demo dùng thử 30 ngày</t>
  </si>
  <si>
    <t>CH-023</t>
  </si>
  <si>
    <t>Gói thiết kế bộ nhận diện số</t>
  </si>
  <si>
    <t>CH-024</t>
  </si>
  <si>
    <t>Gói quản lý đơn hàng in ấn</t>
  </si>
  <si>
    <t>Tham số báo cáo</t>
  </si>
  <si>
    <t>Ô vàng là ô nhập liệu; các sheet khác tham chiếu tới đây.</t>
  </si>
  <si>
    <t>Mã giai đoạn</t>
  </si>
  <si>
    <t>Xác suất chốt (minh hoạ)</t>
  </si>
  <si>
    <t>NEW</t>
  </si>
  <si>
    <t>Đang mở</t>
  </si>
  <si>
    <t>CONTACTED</t>
  </si>
  <si>
    <t>PROPOSAL</t>
  </si>
  <si>
    <t>NEGOTIATION</t>
  </si>
  <si>
    <t>WON</t>
  </si>
  <si>
    <t>Đã đóng</t>
  </si>
  <si>
    <t>LOST</t>
  </si>
  <si>
    <t>Ngày bắt đầu kỳ</t>
  </si>
  <si>
    <t>Ngày kết thúc kỳ</t>
  </si>
  <si>
    <t>Tên kỳ</t>
  </si>
  <si>
    <t>Ngày lập báo cáo</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</si>
</sst>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quot;-&quot;"/>
    <numFmt numFmtId="179" formatCode="dd/mm/yyyy"/>
    <numFmt numFmtId="180" formatCode="#,##0;\(#,##0\);&quot;-&quot;"/>
  </numFmts>
  <fonts count="27">
    <font>
      <sz val="10"/>
      <name val="Arial"/>
      <charset val="134"/>
    </font>
    <font>
      <b/>
      <sz val="14"/>
      <color rgb="FF1F4E78"/>
      <name val="Arial"/>
      <charset val="134"/>
    </font>
    <font>
      <i/>
      <sz val="9"/>
      <color rgb="FF595959"/>
      <name val="Arial"/>
      <charset val="134"/>
    </font>
    <font>
      <b/>
      <sz val="10"/>
      <color rgb="FFFFFFFF"/>
      <name val="Arial"/>
      <charset val="134"/>
    </font>
    <font>
      <sz val="10"/>
      <color rgb="FF000000"/>
      <name val="Arial"/>
      <charset val="134"/>
    </font>
    <font>
      <b/>
      <sz val="10"/>
      <color rgb="FF000000"/>
      <name val="Arial"/>
      <charset val="134"/>
    </font>
    <font>
      <sz val="10"/>
      <color rgb="FF0000FF"/>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1F4E78"/>
        <bgColor indexed="64"/>
      </patternFill>
    </fill>
    <fill>
      <patternFill patternType="solid">
        <fgColor rgb="FFFFFF99"/>
        <bgColor indexed="64"/>
      </patternFill>
    </fill>
    <fill>
      <patternFill patternType="solid">
        <fgColor rgb="FFEDEDED"/>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7" borderId="7" applyNumberFormat="0" applyAlignment="0" applyProtection="0">
      <alignment vertical="center"/>
    </xf>
    <xf numFmtId="0" fontId="17" fillId="8" borderId="8" applyNumberFormat="0" applyAlignment="0" applyProtection="0">
      <alignment vertical="center"/>
    </xf>
    <xf numFmtId="0" fontId="18" fillId="8" borderId="7" applyNumberFormat="0" applyAlignment="0" applyProtection="0">
      <alignment vertical="center"/>
    </xf>
    <xf numFmtId="0" fontId="19" fillId="9"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3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178" fontId="6" fillId="3" borderId="1" xfId="0" applyNumberFormat="1" applyFont="1" applyFill="1" applyBorder="1" applyAlignment="1">
      <alignment vertical="top" wrapText="1"/>
    </xf>
    <xf numFmtId="0" fontId="3" fillId="2" borderId="1" xfId="0" applyFont="1" applyFill="1" applyBorder="1" applyAlignment="1">
      <alignment vertical="top" wrapText="1"/>
    </xf>
    <xf numFmtId="179" fontId="6" fillId="3" borderId="1" xfId="0" applyNumberFormat="1" applyFont="1" applyFill="1" applyBorder="1" applyAlignment="1">
      <alignment vertical="top" wrapText="1"/>
    </xf>
    <xf numFmtId="0" fontId="4"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vertical="top" wrapText="1"/>
    </xf>
    <xf numFmtId="180" fontId="6" fillId="3" borderId="1" xfId="0" applyNumberFormat="1" applyFont="1" applyFill="1" applyBorder="1" applyAlignment="1">
      <alignment vertical="top" wrapText="1"/>
    </xf>
    <xf numFmtId="178" fontId="4" fillId="0" borderId="1" xfId="0" applyNumberFormat="1" applyFont="1" applyBorder="1" applyAlignment="1">
      <alignment vertical="top" wrapText="1"/>
    </xf>
    <xf numFmtId="180" fontId="4" fillId="0" borderId="1" xfId="0" applyNumberFormat="1" applyFont="1" applyBorder="1" applyAlignment="1">
      <alignment vertical="top" wrapText="1"/>
    </xf>
    <xf numFmtId="179" fontId="6" fillId="3" borderId="1" xfId="0" applyNumberFormat="1" applyFont="1" applyFill="1" applyBorder="1" applyAlignment="1">
      <alignment horizontal="center" vertical="top" wrapText="1"/>
    </xf>
    <xf numFmtId="49" fontId="4" fillId="0" borderId="1" xfId="0" applyNumberFormat="1" applyFont="1" applyBorder="1" applyAlignment="1">
      <alignment vertical="top" wrapText="1"/>
    </xf>
    <xf numFmtId="0" fontId="5" fillId="0" borderId="0" xfId="0" applyFont="1" applyAlignment="1">
      <alignment vertical="top"/>
    </xf>
    <xf numFmtId="0" fontId="5" fillId="4" borderId="1" xfId="0" applyFont="1" applyFill="1" applyBorder="1" applyAlignment="1">
      <alignment vertical="top" wrapText="1"/>
    </xf>
    <xf numFmtId="180" fontId="5" fillId="4" borderId="1" xfId="0" applyNumberFormat="1" applyFont="1" applyFill="1" applyBorder="1" applyAlignment="1">
      <alignment vertical="top" wrapText="1"/>
    </xf>
    <xf numFmtId="178" fontId="5" fillId="4" borderId="1" xfId="0" applyNumberFormat="1" applyFont="1" applyFill="1" applyBorder="1" applyAlignment="1">
      <alignment vertical="top" wrapText="1"/>
    </xf>
    <xf numFmtId="0" fontId="4" fillId="4" borderId="1" xfId="0" applyFont="1" applyFill="1" applyBorder="1" applyAlignment="1">
      <alignment vertical="top" wrapText="1"/>
    </xf>
    <xf numFmtId="0" fontId="0" fillId="0" borderId="2" xfId="0" applyBorder="1"/>
    <xf numFmtId="0" fontId="0" fillId="0" borderId="3" xfId="0" applyBorder="1"/>
    <xf numFmtId="0" fontId="4" fillId="0" borderId="1" xfId="0" applyFont="1" applyBorder="1" applyAlignment="1">
      <alignment horizontal="right" vertical="top"/>
    </xf>
    <xf numFmtId="0" fontId="2" fillId="0" borderId="1" xfId="0" applyFont="1" applyBorder="1" applyAlignment="1">
      <alignment vertical="top" wrapText="1"/>
    </xf>
    <xf numFmtId="179" fontId="4" fillId="0" borderId="1" xfId="0" applyNumberFormat="1" applyFont="1" applyBorder="1" applyAlignment="1">
      <alignment horizontal="right" vertical="top"/>
    </xf>
    <xf numFmtId="180" fontId="4" fillId="0" borderId="1" xfId="0" applyNumberFormat="1" applyFont="1" applyBorder="1" applyAlignment="1">
      <alignment horizontal="right" vertical="top"/>
    </xf>
    <xf numFmtId="178" fontId="4" fillId="0" borderId="1" xfId="0" applyNumberFormat="1" applyFont="1" applyBorder="1" applyAlignment="1">
      <alignment horizontal="right" vertical="top"/>
    </xf>
    <xf numFmtId="0" fontId="5" fillId="5" borderId="1" xfId="0" applyFont="1" applyFill="1" applyBorder="1" applyAlignment="1">
      <alignment vertical="top" wrapText="1"/>
    </xf>
    <xf numFmtId="0" fontId="4" fillId="0" borderId="1" xfId="0" applyFont="1" applyBorder="1" applyAlignment="1">
      <alignment horizontal="left" vertical="top" wrapText="1"/>
    </xf>
    <xf numFmtId="179" fontId="4" fillId="0" borderId="1" xfId="0" applyNumberFormat="1" applyFont="1" applyBorder="1" applyAlignment="1">
      <alignment horizontal="left" vertical="top" wrapText="1"/>
    </xf>
    <xf numFmtId="0" fontId="3" fillId="2"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Giá trị pipeline theo giai đoạn (triệu VND)</a:t>
            </a:r>
          </a:p>
        </c:rich>
      </c:tx>
      <c:layout/>
      <c:overlay val="0"/>
    </c:title>
    <c:autoTitleDeleted val="0"/>
    <c:plotArea>
      <c:layout/>
      <c:barChart>
        <c:barDir val="bar"/>
        <c:grouping val="clustered"/>
        <c:varyColors val="0"/>
        <c:ser>
          <c:idx val="0"/>
          <c:order val="0"/>
          <c:tx>
            <c:strRef>
              <c:f>'Tổng hợp'!$C$4</c:f>
              <c:strCache>
                <c:ptCount val="1"/>
                <c:pt idx="0">
                  <c:v>Tổng giá trị (VND)</c:v>
                </c:pt>
              </c:strCache>
            </c:strRef>
          </c:tx>
          <c:spPr>
            <a:ln w="9525" cap="flat" cmpd="sng" algn="ctr">
              <a:solidFill>
                <a:schemeClr val="lt1">
                  <a:shade val="95000"/>
                  <a:satMod val="105000"/>
                </a:schemeClr>
              </a:solidFill>
              <a:prstDash val="solid"/>
              <a:round/>
            </a:ln>
          </c:spPr>
          <c:invertIfNegative val="0"/>
          <c:dLbls>
            <c:delete val="1"/>
          </c:dLbls>
          <c:cat>
            <c:strRef>
              <c:f>'Tổng hợp'!$A$5:$A$10</c:f>
              <c:strCache>
                <c:ptCount val="6"/>
                <c:pt idx="0">
                  <c:v>Mới</c:v>
                </c:pt>
                <c:pt idx="1">
                  <c:v>Đã liên hệ</c:v>
                </c:pt>
                <c:pt idx="2">
                  <c:v>Đề xuất</c:v>
                </c:pt>
                <c:pt idx="3">
                  <c:v>Đàm phán</c:v>
                </c:pt>
                <c:pt idx="4">
                  <c:v>Hoàn thành</c:v>
                </c:pt>
                <c:pt idx="5">
                  <c:v>Thất bại</c:v>
                </c:pt>
              </c:strCache>
            </c:strRef>
          </c:cat>
          <c:val>
            <c:numRef>
              <c:f>'Tổng hợp'!$C$5:$C$10</c:f>
              <c:numCache>
                <c:formatCode>#,##0;\(#,##0\);"-"</c:formatCode>
                <c:ptCount val="6"/>
                <c:pt idx="0">
                  <c:v>113000000</c:v>
                </c:pt>
                <c:pt idx="1">
                  <c:v>315000000</c:v>
                </c:pt>
                <c:pt idx="2">
                  <c:v>208000000</c:v>
                </c:pt>
                <c:pt idx="3">
                  <c:v>396000000</c:v>
                </c:pt>
                <c:pt idx="4">
                  <c:v>318000000</c:v>
                </c:pt>
                <c:pt idx="5">
                  <c:v>150000000</c:v>
                </c:pt>
              </c:numCache>
            </c:numRef>
          </c:val>
        </c:ser>
        <c:ser>
          <c:idx val="1"/>
          <c:order val="1"/>
          <c:tx>
            <c:strRef>
              <c:f>'Tổng hợp'!$D$4</c:f>
              <c:strCache>
                <c:ptCount val="1"/>
                <c:pt idx="0">
                  <c:v>Giá trị gia quyền (VND)</c:v>
                </c:pt>
              </c:strCache>
            </c:strRef>
          </c:tx>
          <c:spPr>
            <a:ln w="9525" cap="flat" cmpd="sng" algn="ctr">
              <a:solidFill>
                <a:schemeClr val="lt1">
                  <a:shade val="95000"/>
                  <a:satMod val="105000"/>
                </a:schemeClr>
              </a:solidFill>
              <a:prstDash val="solid"/>
              <a:round/>
            </a:ln>
          </c:spPr>
          <c:invertIfNegative val="0"/>
          <c:dLbls>
            <c:delete val="1"/>
          </c:dLbls>
          <c:cat>
            <c:strRef>
              <c:f>'Tổng hợp'!$A$5:$A$10</c:f>
              <c:strCache>
                <c:ptCount val="6"/>
                <c:pt idx="0">
                  <c:v>Mới</c:v>
                </c:pt>
                <c:pt idx="1">
                  <c:v>Đã liên hệ</c:v>
                </c:pt>
                <c:pt idx="2">
                  <c:v>Đề xuất</c:v>
                </c:pt>
                <c:pt idx="3">
                  <c:v>Đàm phán</c:v>
                </c:pt>
                <c:pt idx="4">
                  <c:v>Hoàn thành</c:v>
                </c:pt>
                <c:pt idx="5">
                  <c:v>Thất bại</c:v>
                </c:pt>
              </c:strCache>
            </c:strRef>
          </c:cat>
          <c:val>
            <c:numRef>
              <c:f>'Tổng hợp'!$D$5:$D$10</c:f>
              <c:numCache>
                <c:formatCode>#,##0;\(#,##0\);"-"</c:formatCode>
                <c:ptCount val="6"/>
                <c:pt idx="0">
                  <c:v>11300000</c:v>
                </c:pt>
                <c:pt idx="1">
                  <c:v>63000000</c:v>
                </c:pt>
                <c:pt idx="2">
                  <c:v>83200000</c:v>
                </c:pt>
                <c:pt idx="3">
                  <c:v>237600000</c:v>
                </c:pt>
                <c:pt idx="4">
                  <c:v>318000000</c:v>
                </c:pt>
                <c:pt idx="5">
                  <c:v>0</c:v>
                </c:pt>
              </c:numCache>
            </c:numRef>
          </c:val>
        </c:ser>
        <c:dLbls>
          <c:showLegendKey val="0"/>
          <c:showVal val="0"/>
          <c:showCatName val="0"/>
          <c:showSerName val="0"/>
          <c:showPercent val="0"/>
          <c:showBubbleSize val="0"/>
        </c:dLbls>
        <c:gapWidth val="150"/>
        <c:axId val="10"/>
        <c:axId val="100"/>
      </c:barChart>
      <c:catAx>
        <c:axId val="10"/>
        <c:scaling>
          <c:orientation val="maxMin"/>
        </c:scaling>
        <c:delete val="0"/>
        <c:axPos val="l"/>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t"/>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Triệu VND</a:t>
                </a:r>
              </a:p>
            </c:rich>
          </c:tx>
          <c:layout/>
          <c:overlay val="0"/>
        </c:title>
        <c:numFmt formatCode="#,##0,,"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0e8a32d-c2af-46d9-9d2a-7f10bd9884d3}"/>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Số khách hàng theo loại</a:t>
            </a:r>
          </a:p>
        </c:rich>
      </c:tx>
      <c:layout/>
      <c:overlay val="0"/>
    </c:title>
    <c:autoTitleDeleted val="0"/>
    <c:plotArea>
      <c:layout/>
      <c:barChart>
        <c:barDir val="col"/>
        <c:grouping val="clustered"/>
        <c:varyColors val="0"/>
        <c:ser>
          <c:idx val="0"/>
          <c:order val="0"/>
          <c:tx>
            <c:strRef>
              <c:f>'Tổng hợp'!$B$14</c:f>
              <c:strCache>
                <c:ptCount val="1"/>
                <c:pt idx="0">
                  <c:v>Số khách hàng</c:v>
                </c:pt>
              </c:strCache>
            </c:strRef>
          </c:tx>
          <c:spPr>
            <a:ln w="9525" cap="flat" cmpd="sng" algn="ctr">
              <a:solidFill>
                <a:schemeClr val="lt1">
                  <a:shade val="95000"/>
                  <a:satMod val="105000"/>
                </a:schemeClr>
              </a:solidFill>
              <a:prstDash val="solid"/>
              <a:round/>
            </a:ln>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'Tổng hợp'!$A$15:$A$18</c:f>
              <c:strCache>
                <c:ptCount val="4"/>
                <c:pt idx="0">
                  <c:v>Khách hàng thân thiết</c:v>
                </c:pt>
                <c:pt idx="1">
                  <c:v>Khách hàng tiềm năng</c:v>
                </c:pt>
                <c:pt idx="2">
                  <c:v>Khách hàng mới</c:v>
                </c:pt>
                <c:pt idx="3">
                  <c:v>Khách hàng VIP</c:v>
                </c:pt>
              </c:strCache>
            </c:strRef>
          </c:cat>
          <c:val>
            <c:numRef>
              <c:f>'Tổng hợp'!$B$15:$B$18</c:f>
              <c:numCache>
                <c:formatCode>#,##0;\(#,##0\);"-"</c:formatCode>
                <c:ptCount val="4"/>
                <c:pt idx="0">
                  <c:v>3</c:v>
                </c:pt>
                <c:pt idx="1">
                  <c:v>5</c:v>
                </c:pt>
                <c:pt idx="2">
                  <c:v>3</c:v>
                </c:pt>
                <c:pt idx="3">
                  <c:v>1</c:v>
                </c:pt>
              </c:numCache>
            </c:numRef>
          </c:val>
        </c:ser>
        <c:dLbls>
          <c:showLegendKey val="0"/>
          <c:showVal val="1"/>
          <c:showCatName val="0"/>
          <c:showSerName val="0"/>
          <c:showPercent val="0"/>
          <c:showBubbleSize val="1"/>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f4d6116b-3eec-41a9-a7d8-cc89d700773b}"/>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2</xdr:row>
      <xdr:rowOff>0</xdr:rowOff>
    </xdr:from>
    <xdr:ext cx="6120000" cy="2965680"/>
    <xdr:graphicFrame>
      <xdr:nvGraphicFramePr>
        <xdr:cNvPr id="2" name="Chart 1"/>
        <xdr:cNvGraphicFramePr/>
      </xdr:nvGraphicFramePr>
      <xdr:xfrm>
        <a:off x="10218420" y="447040"/>
        <a:ext cx="6119495" cy="296545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120000" cy="2494260"/>
    <xdr:graphicFrame>
      <xdr:nvGraphicFramePr>
        <xdr:cNvPr id="3" name="Chart 2"/>
        <xdr:cNvGraphicFramePr/>
      </xdr:nvGraphicFramePr>
      <xdr:xfrm>
        <a:off x="10218420" y="4109720"/>
        <a:ext cx="6119495" cy="249364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31"/>
  <sheetViews>
    <sheetView showGridLines="0" tabSelected="1" workbookViewId="0">
      <selection activeCell="A1" sqref="A1"/>
    </sheetView>
  </sheetViews>
  <sheetFormatPr defaultColWidth="9" defaultRowHeight="13.2" outlineLevelCol="1"/>
  <cols>
    <col min="1" max="1" width="26" customWidth="1"/>
    <col min="2" max="2" width="95" customWidth="1"/>
  </cols>
  <sheetData>
    <row r="1" ht="22" customHeight="1" spans="1:2">
      <c r="A1" s="1" t="s">
        <v>0</v>
      </c>
    </row>
    <row r="3" spans="1:2">
      <c r="A3" s="29" t="s">
        <v>1</v>
      </c>
      <c r="B3" s="30" t="s">
        <v>2</v>
      </c>
    </row>
    <row r="4" spans="1:2">
      <c r="A4" s="29" t="s">
        <v>3</v>
      </c>
      <c r="B4" s="30" t="s">
        <v>4</v>
      </c>
    </row>
    <row r="5" spans="1:2">
      <c r="A5" s="29" t="s">
        <v>5</v>
      </c>
      <c r="B5" s="30" t="s">
        <v>6</v>
      </c>
    </row>
    <row r="6" spans="1:2">
      <c r="A6" s="29" t="s">
        <v>7</v>
      </c>
      <c r="B6" s="30" t="s">
        <v>8</v>
      </c>
    </row>
    <row r="7" spans="1:2">
      <c r="A7" s="29" t="s">
        <v>9</v>
      </c>
      <c r="B7" s="30" t="s">
        <v>10</v>
      </c>
    </row>
    <row r="8" spans="1:2">
      <c r="A8" s="29" t="s">
        <v>11</v>
      </c>
      <c r="B8" s="31">
        <v>46321</v>
      </c>
    </row>
    <row r="9" spans="1:2">
      <c r="A9" s="29" t="s">
        <v>12</v>
      </c>
      <c r="B9" s="30" t="s">
        <v>13</v>
      </c>
    </row>
    <row r="10" spans="1:2">
      <c r="A10" s="29" t="s">
        <v>14</v>
      </c>
      <c r="B10" s="30" t="s">
        <v>15</v>
      </c>
    </row>
    <row r="12" spans="1:2">
      <c r="A12" s="17" t="s">
        <v>16</v>
      </c>
    </row>
    <row r="13" spans="1:2">
      <c r="A13" s="10" t="s">
        <v>17</v>
      </c>
      <c r="B13" s="4" t="s">
        <v>18</v>
      </c>
    </row>
    <row r="14" spans="1:2">
      <c r="A14" s="9" t="s">
        <v>19</v>
      </c>
      <c r="B14" s="4" t="s">
        <v>20</v>
      </c>
    </row>
    <row r="15" spans="1:2">
      <c r="A15" s="32" t="s">
        <v>21</v>
      </c>
      <c r="B15" s="4" t="s">
        <v>22</v>
      </c>
    </row>
    <row r="17" spans="1:2">
      <c r="A17" s="17" t="s">
        <v>23</v>
      </c>
    </row>
    <row r="18" ht="26.4" spans="1:2">
      <c r="A18" s="5" t="s">
        <v>24</v>
      </c>
      <c r="B18" s="4" t="s">
        <v>25</v>
      </c>
    </row>
    <row r="19" spans="1:2">
      <c r="A19" s="5" t="s">
        <v>26</v>
      </c>
      <c r="B19" s="4" t="s">
        <v>27</v>
      </c>
    </row>
    <row r="20" spans="1:2">
      <c r="A20" s="5" t="s">
        <v>28</v>
      </c>
      <c r="B20" s="4" t="s">
        <v>29</v>
      </c>
    </row>
    <row r="21" spans="1:2">
      <c r="A21" s="5" t="s">
        <v>30</v>
      </c>
      <c r="B21" s="4" t="s">
        <v>31</v>
      </c>
    </row>
    <row r="23" spans="1:2">
      <c r="A23" s="17" t="s">
        <v>32</v>
      </c>
    </row>
    <row r="24" ht="26.4" spans="1:2">
      <c r="A24" s="9" t="s">
        <v>33</v>
      </c>
      <c r="B24" s="4" t="s">
        <v>34</v>
      </c>
    </row>
    <row r="25" ht="26.4" spans="1:2">
      <c r="A25" s="9" t="s">
        <v>35</v>
      </c>
      <c r="B25" s="4" t="s">
        <v>36</v>
      </c>
    </row>
    <row r="26" ht="26.4" spans="1:2">
      <c r="A26" s="9" t="s">
        <v>37</v>
      </c>
      <c r="B26" s="4" t="s">
        <v>38</v>
      </c>
    </row>
    <row r="27" ht="26.4" spans="1:2">
      <c r="A27" s="9" t="s">
        <v>39</v>
      </c>
      <c r="B27" s="4" t="s">
        <v>40</v>
      </c>
    </row>
    <row r="28" ht="39.6" spans="1:2">
      <c r="A28" s="9" t="s">
        <v>41</v>
      </c>
      <c r="B28" s="4" t="s">
        <v>42</v>
      </c>
    </row>
    <row r="29" spans="1:2">
      <c r="A29" s="9" t="s">
        <v>43</v>
      </c>
      <c r="B29" s="4" t="s">
        <v>44</v>
      </c>
    </row>
    <row r="30" ht="26.4" spans="1:2">
      <c r="A30" s="9" t="s">
        <v>45</v>
      </c>
      <c r="B30" s="4" t="s">
        <v>46</v>
      </c>
    </row>
    <row r="31" spans="1:2">
      <c r="A31" s="9" t="s">
        <v>47</v>
      </c>
      <c r="B31" s="4" t="s">
        <v>48</v>
      </c>
    </row>
  </sheetData>
  <pageMargins left="0.75" right="0.75" top="1" bottom="1" header="0.5" footer="0.5"/>
  <pageSetup paperSize="1" orientation="landscape"/>
  <headerFooter>
    <oddFooter>&amp;C&amp;"Arial"&amp;8 Tài liệu nội bộ — Công ty Demo SME — dùng cho mục đích minh hoạ đồ án&amp;R&amp;"Arial"&amp;8 Trang &amp;P/&amp;N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41"/>
  <sheetViews>
    <sheetView workbookViewId="0">
      <pane ySplit="3" topLeftCell="A4" activePane="bottomLeft" state="frozen"/>
      <selection/>
      <selection pane="bottomLeft" activeCell="A1" sqref="A1"/>
    </sheetView>
  </sheetViews>
  <sheetFormatPr defaultColWidth="9" defaultRowHeight="13.2" outlineLevelCol="5"/>
  <cols>
    <col min="1" max="1" width="40" customWidth="1"/>
    <col min="2" max="2" width="18" customWidth="1"/>
    <col min="3" max="3" width="20" customWidth="1"/>
    <col min="4" max="4" width="22" customWidth="1"/>
    <col min="5" max="6" width="20" customWidth="1"/>
  </cols>
  <sheetData>
    <row r="1" ht="22" customHeight="1" spans="1:6">
      <c r="A1" s="1" t="s">
        <v>49</v>
      </c>
    </row>
    <row r="2" spans="1:6">
      <c r="A2" s="2" t="s">
        <v>50</v>
      </c>
    </row>
    <row r="3" spans="1:6">
      <c r="A3" s="17" t="s">
        <v>51</v>
      </c>
    </row>
    <row r="4" ht="32" customHeight="1" spans="1:6">
      <c r="A4" s="3" t="s">
        <v>52</v>
      </c>
      <c r="B4" s="3" t="s">
        <v>53</v>
      </c>
      <c r="C4" s="3" t="s">
        <v>54</v>
      </c>
      <c r="D4" s="3" t="s">
        <v>55</v>
      </c>
      <c r="E4" s="3" t="s">
        <v>56</v>
      </c>
      <c r="F4" s="3" t="s">
        <v>57</v>
      </c>
    </row>
    <row r="5" spans="1:6">
      <c r="A5" s="5" t="str">
        <f>'Tham số'!B5</f>
        <v>Mới</v>
      </c>
      <c r="B5" s="14">
        <f>COUNTIFS('Cơ hội'!$E$5:$E$200,A5)</f>
        <v>5</v>
      </c>
      <c r="C5" s="14">
        <f>SUMIFS('Cơ hội'!$F$5:$F$200,'Cơ hội'!$E$5:$E$200,A5)</f>
        <v>113000000</v>
      </c>
      <c r="D5" s="14">
        <f>SUMIFS('Cơ hội'!$H$5:$H$200,'Cơ hội'!$E$5:$E$200,A5)</f>
        <v>11300000</v>
      </c>
      <c r="E5" s="13">
        <f t="shared" ref="E5:E10" si="0">IFERROR(C5/$C$11,0)</f>
        <v>0.0753333333333333</v>
      </c>
      <c r="F5" s="4" t="str">
        <f>'Tham số'!D5</f>
        <v>Đang mở</v>
      </c>
    </row>
    <row r="6" spans="1:6">
      <c r="A6" s="5" t="str">
        <f>'Tham số'!B6</f>
        <v>Đã liên hệ</v>
      </c>
      <c r="B6" s="14">
        <f>COUNTIFS('Cơ hội'!$E$5:$E$200,A6)</f>
        <v>5</v>
      </c>
      <c r="C6" s="14">
        <f>SUMIFS('Cơ hội'!$F$5:$F$200,'Cơ hội'!$E$5:$E$200,A6)</f>
        <v>315000000</v>
      </c>
      <c r="D6" s="14">
        <f>SUMIFS('Cơ hội'!$H$5:$H$200,'Cơ hội'!$E$5:$E$200,A6)</f>
        <v>63000000</v>
      </c>
      <c r="E6" s="13">
        <f t="shared" si="0"/>
        <v>0.21</v>
      </c>
      <c r="F6" s="4" t="str">
        <f>'Tham số'!D6</f>
        <v>Đang mở</v>
      </c>
    </row>
    <row r="7" spans="1:6">
      <c r="A7" s="5" t="str">
        <f>'Tham số'!B7</f>
        <v>Đề xuất</v>
      </c>
      <c r="B7" s="14">
        <f>COUNTIFS('Cơ hội'!$E$5:$E$200,A7)</f>
        <v>3</v>
      </c>
      <c r="C7" s="14">
        <f>SUMIFS('Cơ hội'!$F$5:$F$200,'Cơ hội'!$E$5:$E$200,A7)</f>
        <v>208000000</v>
      </c>
      <c r="D7" s="14">
        <f>SUMIFS('Cơ hội'!$H$5:$H$200,'Cơ hội'!$E$5:$E$200,A7)</f>
        <v>83200000</v>
      </c>
      <c r="E7" s="13">
        <f t="shared" si="0"/>
        <v>0.138666666666667</v>
      </c>
      <c r="F7" s="4" t="str">
        <f>'Tham số'!D7</f>
        <v>Đang mở</v>
      </c>
    </row>
    <row r="8" spans="1:6">
      <c r="A8" s="5" t="str">
        <f>'Tham số'!B8</f>
        <v>Đàm phán</v>
      </c>
      <c r="B8" s="14">
        <f>COUNTIFS('Cơ hội'!$E$5:$E$200,A8)</f>
        <v>4</v>
      </c>
      <c r="C8" s="14">
        <f>SUMIFS('Cơ hội'!$F$5:$F$200,'Cơ hội'!$E$5:$E$200,A8)</f>
        <v>396000000</v>
      </c>
      <c r="D8" s="14">
        <f>SUMIFS('Cơ hội'!$H$5:$H$200,'Cơ hội'!$E$5:$E$200,A8)</f>
        <v>237600000</v>
      </c>
      <c r="E8" s="13">
        <f t="shared" si="0"/>
        <v>0.264</v>
      </c>
      <c r="F8" s="4" t="str">
        <f>'Tham số'!D8</f>
        <v>Đang mở</v>
      </c>
    </row>
    <row r="9" spans="1:6">
      <c r="A9" s="5" t="str">
        <f>'Tham số'!B9</f>
        <v>Hoàn thành</v>
      </c>
      <c r="B9" s="14">
        <f>COUNTIFS('Cơ hội'!$E$5:$E$200,A9)</f>
        <v>4</v>
      </c>
      <c r="C9" s="14">
        <f>SUMIFS('Cơ hội'!$F$5:$F$200,'Cơ hội'!$E$5:$E$200,A9)</f>
        <v>318000000</v>
      </c>
      <c r="D9" s="14">
        <f>SUMIFS('Cơ hội'!$H$5:$H$200,'Cơ hội'!$E$5:$E$200,A9)</f>
        <v>318000000</v>
      </c>
      <c r="E9" s="13">
        <f t="shared" si="0"/>
        <v>0.212</v>
      </c>
      <c r="F9" s="4" t="str">
        <f>'Tham số'!D9</f>
        <v>Đã đóng</v>
      </c>
    </row>
    <row r="10" spans="1:6">
      <c r="A10" s="5" t="str">
        <f>'Tham số'!B10</f>
        <v>Thất bại</v>
      </c>
      <c r="B10" s="14">
        <f>COUNTIFS('Cơ hội'!$E$5:$E$200,A10)</f>
        <v>3</v>
      </c>
      <c r="C10" s="14">
        <f>SUMIFS('Cơ hội'!$F$5:$F$200,'Cơ hội'!$E$5:$E$200,A10)</f>
        <v>150000000</v>
      </c>
      <c r="D10" s="14">
        <f>SUMIFS('Cơ hội'!$H$5:$H$200,'Cơ hội'!$E$5:$E$200,A10)</f>
        <v>0</v>
      </c>
      <c r="E10" s="13">
        <f t="shared" si="0"/>
        <v>0.1</v>
      </c>
      <c r="F10" s="4" t="str">
        <f>'Tham số'!D10</f>
        <v>Đã đóng</v>
      </c>
    </row>
    <row r="11" spans="1:6">
      <c r="A11" s="18" t="s">
        <v>58</v>
      </c>
      <c r="B11" s="19">
        <f>SUM(B5:B10)</f>
        <v>24</v>
      </c>
      <c r="C11" s="19">
        <f>SUM(C5:C10)</f>
        <v>1500000000</v>
      </c>
      <c r="D11" s="19">
        <f>SUM(D5:D10)</f>
        <v>713100000</v>
      </c>
      <c r="E11" s="20">
        <f>SUM(E5:E10)</f>
        <v>1</v>
      </c>
      <c r="F11" s="21" t="s">
        <v>59</v>
      </c>
    </row>
    <row r="13" spans="1:6">
      <c r="A13" s="17" t="s">
        <v>60</v>
      </c>
    </row>
    <row r="14" ht="32" customHeight="1" spans="1:6">
      <c r="A14" s="3" t="s">
        <v>61</v>
      </c>
      <c r="B14" s="3" t="s">
        <v>62</v>
      </c>
      <c r="C14" s="3" t="s">
        <v>53</v>
      </c>
      <c r="D14" s="3" t="s">
        <v>54</v>
      </c>
      <c r="E14" s="3" t="s">
        <v>63</v>
      </c>
      <c r="F14" s="3" t="s">
        <v>64</v>
      </c>
    </row>
    <row r="15" spans="1:6">
      <c r="A15" s="5" t="s">
        <v>65</v>
      </c>
      <c r="B15" s="14">
        <f>COUNTIFS('Khách hàng'!$G$5:$G$200,A15)</f>
        <v>3</v>
      </c>
      <c r="C15" s="14">
        <f>SUMIFS('Khách hàng'!$K$5:$K$200,'Khách hàng'!$G$5:$G$200,A15)</f>
        <v>6</v>
      </c>
      <c r="D15" s="14">
        <f>SUMIFS('Khách hàng'!$L$5:$L$200,'Khách hàng'!$G$5:$G$200,A15)</f>
        <v>252000000</v>
      </c>
      <c r="E15" s="14">
        <f>SUMIFS('Khách hàng'!$O$5:$O$200,'Khách hàng'!$G$5:$G$200,A15)</f>
        <v>168000000</v>
      </c>
      <c r="F15" s="14">
        <f>SUMIFS('Khách hàng'!$M$5:$M$200,'Khách hàng'!$G$5:$G$200,A15)</f>
        <v>84000000</v>
      </c>
    </row>
    <row r="16" spans="1:6">
      <c r="A16" s="5" t="s">
        <v>66</v>
      </c>
      <c r="B16" s="14">
        <f>COUNTIFS('Khách hàng'!$G$5:$G$200,A16)</f>
        <v>5</v>
      </c>
      <c r="C16" s="14">
        <f>SUMIFS('Khách hàng'!$K$5:$K$200,'Khách hàng'!$G$5:$G$200,A16)</f>
        <v>10</v>
      </c>
      <c r="D16" s="14">
        <f>SUMIFS('Khách hàng'!$L$5:$L$200,'Khách hàng'!$G$5:$G$200,A16)</f>
        <v>684000000</v>
      </c>
      <c r="E16" s="14">
        <f>SUMIFS('Khách hàng'!$O$5:$O$200,'Khách hàng'!$G$5:$G$200,A16)</f>
        <v>0</v>
      </c>
      <c r="F16" s="14">
        <f>SUMIFS('Khách hàng'!$M$5:$M$200,'Khách hàng'!$G$5:$G$200,A16)</f>
        <v>549000000</v>
      </c>
    </row>
    <row r="17" spans="1:6">
      <c r="A17" s="5" t="s">
        <v>67</v>
      </c>
      <c r="B17" s="14">
        <f>COUNTIFS('Khách hàng'!$G$5:$G$200,A17)</f>
        <v>3</v>
      </c>
      <c r="C17" s="14">
        <f>SUMIFS('Khách hàng'!$K$5:$K$200,'Khách hàng'!$G$5:$G$200,A17)</f>
        <v>6</v>
      </c>
      <c r="D17" s="14">
        <f>SUMIFS('Khách hàng'!$L$5:$L$200,'Khách hàng'!$G$5:$G$200,A17)</f>
        <v>324000000</v>
      </c>
      <c r="E17" s="14">
        <f>SUMIFS('Khách hàng'!$O$5:$O$200,'Khách hàng'!$G$5:$G$200,A17)</f>
        <v>0</v>
      </c>
      <c r="F17" s="14">
        <f>SUMIFS('Khách hàng'!$M$5:$M$200,'Khách hàng'!$G$5:$G$200,A17)</f>
        <v>309000000</v>
      </c>
    </row>
    <row r="18" spans="1:6">
      <c r="A18" s="5" t="s">
        <v>68</v>
      </c>
      <c r="B18" s="14">
        <f>COUNTIFS('Khách hàng'!$G$5:$G$200,A18)</f>
        <v>1</v>
      </c>
      <c r="C18" s="14">
        <f>SUMIFS('Khách hàng'!$K$5:$K$200,'Khách hàng'!$G$5:$G$200,A18)</f>
        <v>2</v>
      </c>
      <c r="D18" s="14">
        <f>SUMIFS('Khách hàng'!$L$5:$L$200,'Khách hàng'!$G$5:$G$200,A18)</f>
        <v>240000000</v>
      </c>
      <c r="E18" s="14">
        <f>SUMIFS('Khách hàng'!$O$5:$O$200,'Khách hàng'!$G$5:$G$200,A18)</f>
        <v>150000000</v>
      </c>
      <c r="F18" s="14">
        <f>SUMIFS('Khách hàng'!$M$5:$M$200,'Khách hàng'!$G$5:$G$200,A18)</f>
        <v>90000000</v>
      </c>
    </row>
    <row r="19" spans="1:6">
      <c r="A19" s="18" t="s">
        <v>58</v>
      </c>
      <c r="B19" s="19">
        <f>SUM(B15:B18)</f>
        <v>12</v>
      </c>
      <c r="C19" s="19">
        <f>SUM(C15:C18)</f>
        <v>24</v>
      </c>
      <c r="D19" s="19">
        <f>SUM(D15:D18)</f>
        <v>1500000000</v>
      </c>
      <c r="E19" s="19">
        <f>SUM(E15:E18)</f>
        <v>318000000</v>
      </c>
      <c r="F19" s="19">
        <f>SUM(F15:F18)</f>
        <v>1032000000</v>
      </c>
    </row>
    <row r="21" spans="1:6">
      <c r="A21" s="17" t="s">
        <v>69</v>
      </c>
    </row>
    <row r="22" ht="32" customHeight="1" spans="1:6">
      <c r="A22" s="3" t="s">
        <v>70</v>
      </c>
      <c r="B22" s="3" t="s">
        <v>62</v>
      </c>
      <c r="C22" s="3" t="s">
        <v>53</v>
      </c>
      <c r="D22" s="3" t="s">
        <v>64</v>
      </c>
      <c r="E22" s="3" t="s">
        <v>71</v>
      </c>
      <c r="F22" s="3" t="s">
        <v>63</v>
      </c>
    </row>
    <row r="23" spans="1:6">
      <c r="A23" s="5" t="s">
        <v>72</v>
      </c>
      <c r="B23" s="14">
        <f>COUNTIFS('Khách hàng'!$H$5:$H$200,A23)</f>
        <v>6</v>
      </c>
      <c r="C23" s="14">
        <f>SUMIFS('Khách hàng'!$K$5:$K$200,'Khách hàng'!$H$5:$H$200,A23)</f>
        <v>12</v>
      </c>
      <c r="D23" s="14">
        <f>SUMIFS('Khách hàng'!$M$5:$M$200,'Khách hàng'!$H$5:$H$200,A23)</f>
        <v>246000000</v>
      </c>
      <c r="E23" s="14">
        <f>SUMIFS('Khách hàng'!$N$5:$N$200,'Khách hàng'!$H$5:$H$200,A23)</f>
        <v>86000000</v>
      </c>
      <c r="F23" s="14">
        <f>SUMIFS('Khách hàng'!$O$5:$O$200,'Khách hàng'!$H$5:$H$200,A23)</f>
        <v>168000000</v>
      </c>
    </row>
    <row r="24" spans="1:6">
      <c r="A24" s="5" t="s">
        <v>73</v>
      </c>
      <c r="B24" s="14">
        <f>COUNTIFS('Khách hàng'!$H$5:$H$200,A24)</f>
        <v>6</v>
      </c>
      <c r="C24" s="14">
        <f>SUMIFS('Khách hàng'!$K$5:$K$200,'Khách hàng'!$H$5:$H$200,A24)</f>
        <v>12</v>
      </c>
      <c r="D24" s="14">
        <f>SUMIFS('Khách hàng'!$M$5:$M$200,'Khách hàng'!$H$5:$H$200,A24)</f>
        <v>786000000</v>
      </c>
      <c r="E24" s="14">
        <f>SUMIFS('Khách hàng'!$N$5:$N$200,'Khách hàng'!$H$5:$H$200,A24)</f>
        <v>309100000</v>
      </c>
      <c r="F24" s="14">
        <f>SUMIFS('Khách hàng'!$O$5:$O$200,'Khách hàng'!$H$5:$H$200,A24)</f>
        <v>150000000</v>
      </c>
    </row>
    <row r="25" spans="1:6">
      <c r="A25" s="18" t="s">
        <v>58</v>
      </c>
      <c r="B25" s="19">
        <f>SUM(B23:B24)</f>
        <v>12</v>
      </c>
      <c r="C25" s="19">
        <f>SUM(C23:C24)</f>
        <v>24</v>
      </c>
      <c r="D25" s="19">
        <f>SUM(D23:D24)</f>
        <v>1032000000</v>
      </c>
      <c r="E25" s="19">
        <f>SUM(E23:E24)</f>
        <v>395100000</v>
      </c>
      <c r="F25" s="19">
        <f>SUM(F23:F24)</f>
        <v>318000000</v>
      </c>
    </row>
    <row r="27" spans="1:6">
      <c r="A27" s="17" t="s">
        <v>74</v>
      </c>
    </row>
    <row r="28" ht="32" customHeight="1" spans="1:6">
      <c r="A28" s="3" t="s">
        <v>75</v>
      </c>
      <c r="B28" s="3" t="s">
        <v>76</v>
      </c>
      <c r="C28" s="3" t="s">
        <v>77</v>
      </c>
      <c r="D28" s="22"/>
      <c r="E28" s="22"/>
      <c r="F28" s="23"/>
    </row>
    <row r="29" spans="1:6">
      <c r="A29" s="5" t="s">
        <v>78</v>
      </c>
      <c r="B29" s="24" t="str">
        <f>'Tham số'!B16</f>
        <v>Q4/2026</v>
      </c>
      <c r="C29" s="25" t="s">
        <v>79</v>
      </c>
      <c r="D29" s="22"/>
      <c r="E29" s="22"/>
      <c r="F29" s="23"/>
    </row>
    <row r="30" spans="1:6">
      <c r="A30" s="5" t="s">
        <v>80</v>
      </c>
      <c r="B30" s="26">
        <f>'Tham số'!$B$14</f>
        <v>46296</v>
      </c>
      <c r="C30" s="25" t="s">
        <v>81</v>
      </c>
      <c r="D30" s="22"/>
      <c r="E30" s="22"/>
      <c r="F30" s="23"/>
    </row>
    <row r="31" spans="1:6">
      <c r="A31" s="5" t="s">
        <v>82</v>
      </c>
      <c r="B31" s="26">
        <f>'Tham số'!$B$15</f>
        <v>46387</v>
      </c>
      <c r="C31" s="25" t="s">
        <v>81</v>
      </c>
      <c r="D31" s="22"/>
      <c r="E31" s="22"/>
      <c r="F31" s="23"/>
    </row>
    <row r="32" spans="1:6">
      <c r="A32" s="5" t="s">
        <v>83</v>
      </c>
      <c r="B32" s="27">
        <f>COUNTIFS('Cơ hội'!$I$5:$I$200,"&gt;="&amp;B30,'Cơ hội'!$I$5:$I$200,"&lt;="&amp;B31)</f>
        <v>21</v>
      </c>
      <c r="C32" s="25" t="s">
        <v>84</v>
      </c>
      <c r="D32" s="22"/>
      <c r="E32" s="22"/>
      <c r="F32" s="23"/>
    </row>
    <row r="33" spans="1:6">
      <c r="A33" s="5" t="s">
        <v>85</v>
      </c>
      <c r="B33" s="27">
        <f>SUMIFS('Cơ hội'!$F$5:$F$200,'Cơ hội'!$I$5:$I$200,"&gt;="&amp;B30,'Cơ hội'!$I$5:$I$200,"&lt;="&amp;B31,'Cơ hội'!$M$5:$M$200,"Đang mở")</f>
        <v>977000000</v>
      </c>
      <c r="C33" s="25" t="s">
        <v>86</v>
      </c>
      <c r="D33" s="22"/>
      <c r="E33" s="22"/>
      <c r="F33" s="23"/>
    </row>
    <row r="34" spans="1:6">
      <c r="A34" s="5" t="s">
        <v>87</v>
      </c>
      <c r="B34" s="27">
        <f>SUMIFS('Cơ hội'!$H$5:$H$200,'Cơ hội'!$I$5:$I$200,"&gt;="&amp;B30,'Cơ hội'!$I$5:$I$200,"&lt;="&amp;B31,'Cơ hội'!$M$5:$M$200,"Đang mở")</f>
        <v>389600000</v>
      </c>
      <c r="C34" s="25" t="s">
        <v>88</v>
      </c>
      <c r="D34" s="22"/>
      <c r="E34" s="22"/>
      <c r="F34" s="23"/>
    </row>
    <row r="35" spans="1:6">
      <c r="A35" s="5" t="s">
        <v>89</v>
      </c>
      <c r="B35" s="27">
        <f>COUNTIFS('Cơ hội'!$E$5:$E$200,"Hoàn thành",'Cơ hội'!$I$5:$I$200,"&gt;="&amp;B30,'Cơ hội'!$I$5:$I$200,"&lt;="&amp;B31)</f>
        <v>2</v>
      </c>
      <c r="C35" s="25" t="s">
        <v>90</v>
      </c>
      <c r="D35" s="22"/>
      <c r="E35" s="22"/>
      <c r="F35" s="23"/>
    </row>
    <row r="36" spans="1:6">
      <c r="A36" s="5" t="s">
        <v>91</v>
      </c>
      <c r="B36" s="27">
        <f>SUMIFS('Cơ hội'!$F$5:$F$200,'Cơ hội'!$E$5:$E$200,"Hoàn thành",'Cơ hội'!$I$5:$I$200,"&gt;="&amp;B30,'Cơ hội'!$I$5:$I$200,"&lt;="&amp;B31)</f>
        <v>235000000</v>
      </c>
      <c r="C36" s="25" t="s">
        <v>92</v>
      </c>
      <c r="D36" s="22"/>
      <c r="E36" s="22"/>
      <c r="F36" s="23"/>
    </row>
    <row r="37" spans="1:6">
      <c r="A37" s="5" t="s">
        <v>93</v>
      </c>
      <c r="B37" s="27">
        <f>COUNTIFS('Cơ hội'!$E$5:$E$200,"Thất bại",'Cơ hội'!$I$5:$I$200,"&gt;="&amp;B30,'Cơ hội'!$I$5:$I$200,"&lt;="&amp;B31)</f>
        <v>3</v>
      </c>
      <c r="C37" s="25" t="s">
        <v>94</v>
      </c>
      <c r="D37" s="22"/>
      <c r="E37" s="22"/>
      <c r="F37" s="23"/>
    </row>
    <row r="38" spans="1:6">
      <c r="A38" s="5" t="s">
        <v>95</v>
      </c>
      <c r="B38" s="28">
        <f>IFERROR(B35/(B35+B37),0)</f>
        <v>0.4</v>
      </c>
      <c r="C38" s="25" t="s">
        <v>96</v>
      </c>
      <c r="D38" s="22"/>
      <c r="E38" s="22"/>
      <c r="F38" s="23"/>
    </row>
    <row r="39" spans="1:6">
      <c r="A39" s="5" t="s">
        <v>97</v>
      </c>
      <c r="B39" s="28">
        <f>IFERROR(COUNTIFS('Cơ hội'!$E$5:$E$200,"Hoàn thành")/(COUNTIFS('Cơ hội'!$E$5:$E$200,"Hoàn thành")+COUNTIFS('Cơ hội'!$E$5:$E$200,"Thất bại")),0)</f>
        <v>0.571428571428571</v>
      </c>
      <c r="C39" s="25" t="s">
        <v>98</v>
      </c>
      <c r="D39" s="22"/>
      <c r="E39" s="22"/>
      <c r="F39" s="23"/>
    </row>
    <row r="40" spans="1:6">
      <c r="A40" s="5" t="s">
        <v>99</v>
      </c>
      <c r="B40" s="27">
        <f>IFERROR(AVERAGEIF('Cơ hội'!$F$5:$F$200,"&gt;0"),0)</f>
        <v>71428571.4285714</v>
      </c>
      <c r="C40" s="25" t="s">
        <v>100</v>
      </c>
      <c r="D40" s="22"/>
      <c r="E40" s="22"/>
      <c r="F40" s="23"/>
    </row>
    <row r="41" spans="1:6">
      <c r="A41" s="5" t="s">
        <v>101</v>
      </c>
      <c r="B41" s="27">
        <f>COUNTIF('Khách hàng'!$M$5:$M$200,"&gt;0")</f>
        <v>11</v>
      </c>
      <c r="C41" s="25" t="s">
        <v>102</v>
      </c>
      <c r="D41" s="22"/>
      <c r="E41" s="22"/>
      <c r="F41" s="23"/>
    </row>
  </sheetData>
  <mergeCells count="14">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6"/>
  <sheetViews>
    <sheetView workbookViewId="0">
      <pane xSplit="3" ySplit="4" topLeftCell="D5" activePane="bottomRight" state="frozen"/>
      <selection/>
      <selection pane="topRight"/>
      <selection pane="bottomLeft"/>
      <selection pane="bottomRight" activeCell="A1" sqref="A1"/>
    </sheetView>
  </sheetViews>
  <sheetFormatPr defaultColWidth="9" defaultRowHeight="13.2"/>
  <cols>
    <col min="1" max="1" width="6" customWidth="1"/>
    <col min="2" max="2" width="9" customWidth="1"/>
    <col min="3" max="3" width="34" customWidth="1"/>
    <col min="4" max="4" width="22" customWidth="1"/>
    <col min="5" max="5" width="30" customWidth="1"/>
    <col min="6" max="6" width="13" customWidth="1"/>
    <col min="7" max="7" width="21" customWidth="1"/>
    <col min="8" max="8" width="18" customWidth="1"/>
    <col min="9" max="9" width="12" customWidth="1"/>
    <col min="10" max="10" width="40" customWidth="1"/>
    <col min="11" max="11" width="10" customWidth="1"/>
    <col min="12" max="15" width="18" customWidth="1"/>
  </cols>
  <sheetData>
    <row r="1" ht="22" customHeight="1" spans="1:15">
      <c r="A1" s="1" t="s">
        <v>103</v>
      </c>
    </row>
    <row r="2" spans="1:15">
      <c r="A2" s="2" t="s">
        <v>104</v>
      </c>
    </row>
    <row r="4" ht="44" customHeight="1" spans="1:15">
      <c r="A4" s="3" t="s">
        <v>105</v>
      </c>
      <c r="B4" s="3" t="s">
        <v>106</v>
      </c>
      <c r="C4" s="3" t="s">
        <v>107</v>
      </c>
      <c r="D4" s="3" t="s">
        <v>108</v>
      </c>
      <c r="E4" s="3" t="s">
        <v>109</v>
      </c>
      <c r="F4" s="3" t="s">
        <v>110</v>
      </c>
      <c r="G4" s="3" t="s">
        <v>61</v>
      </c>
      <c r="H4" s="3" t="s">
        <v>70</v>
      </c>
      <c r="I4" s="3" t="s">
        <v>111</v>
      </c>
      <c r="J4" s="3" t="s">
        <v>112</v>
      </c>
      <c r="K4" s="3" t="s">
        <v>53</v>
      </c>
      <c r="L4" s="3" t="s">
        <v>113</v>
      </c>
      <c r="M4" s="3" t="s">
        <v>64</v>
      </c>
      <c r="N4" s="3" t="s">
        <v>71</v>
      </c>
      <c r="O4" s="3" t="s">
        <v>63</v>
      </c>
    </row>
    <row r="5" ht="26.4" spans="1:15">
      <c r="A5" s="9">
        <v>1</v>
      </c>
      <c r="B5" s="9" t="s">
        <v>114</v>
      </c>
      <c r="C5" s="4" t="s">
        <v>115</v>
      </c>
      <c r="D5" s="4" t="s">
        <v>116</v>
      </c>
      <c r="E5" s="4" t="s">
        <v>117</v>
      </c>
      <c r="F5" s="16" t="s">
        <v>118</v>
      </c>
      <c r="G5" s="11" t="s">
        <v>65</v>
      </c>
      <c r="H5" s="11" t="s">
        <v>72</v>
      </c>
      <c r="I5" s="4" t="s">
        <v>119</v>
      </c>
      <c r="J5" s="4" t="s">
        <v>120</v>
      </c>
      <c r="K5" s="14">
        <f>COUNTIFS('Cơ hội'!$B$5:$B$200,B5)</f>
        <v>2</v>
      </c>
      <c r="L5" s="14">
        <f>SUMIFS('Cơ hội'!$F$5:$F$200,'Cơ hội'!$B$5:$B$200,B5)</f>
        <v>63000000</v>
      </c>
      <c r="M5" s="14">
        <f>SUMIFS('Cơ hội'!$F$5:$F$200,'Cơ hội'!$B$5:$B$200,B5,'Cơ hội'!$M$5:$M$200,"Đang mở")</f>
        <v>18000000</v>
      </c>
      <c r="N5" s="14">
        <f>SUMIFS('Cơ hội'!$H$5:$H$200,'Cơ hội'!$B$5:$B$200,B5,'Cơ hội'!$M$5:$M$200,"Đang mở")</f>
        <v>10800000</v>
      </c>
      <c r="O5" s="14">
        <f>SUMIFS('Cơ hội'!$F$5:$F$200,'Cơ hội'!$B$5:$B$200,B5,'Cơ hội'!$E$5:$E$200,"Hoàn thành")</f>
        <v>45000000</v>
      </c>
    </row>
    <row r="6" spans="1:15">
      <c r="A6" s="9">
        <v>2</v>
      </c>
      <c r="B6" s="9" t="s">
        <v>121</v>
      </c>
      <c r="C6" s="4" t="s">
        <v>122</v>
      </c>
      <c r="D6" s="4" t="s">
        <v>123</v>
      </c>
      <c r="E6" s="4" t="s">
        <v>124</v>
      </c>
      <c r="F6" s="16" t="s">
        <v>125</v>
      </c>
      <c r="G6" s="11" t="s">
        <v>66</v>
      </c>
      <c r="H6" s="11" t="s">
        <v>73</v>
      </c>
      <c r="I6" s="4" t="s">
        <v>119</v>
      </c>
      <c r="J6" s="4" t="s">
        <v>126</v>
      </c>
      <c r="K6" s="14">
        <f>COUNTIFS('Cơ hội'!$B$5:$B$200,B6)</f>
        <v>2</v>
      </c>
      <c r="L6" s="14">
        <f>SUMIFS('Cơ hội'!$F$5:$F$200,'Cơ hội'!$B$5:$B$200,B6)</f>
        <v>185000000</v>
      </c>
      <c r="M6" s="14">
        <f>SUMIFS('Cơ hội'!$F$5:$F$200,'Cơ hội'!$B$5:$B$200,B6,'Cơ hội'!$M$5:$M$200,"Đang mở")</f>
        <v>185000000</v>
      </c>
      <c r="N6" s="14">
        <f>SUMIFS('Cơ hội'!$H$5:$H$200,'Cơ hội'!$B$5:$B$200,B6,'Cơ hội'!$M$5:$M$200,"Đang mở")</f>
        <v>61000000</v>
      </c>
      <c r="O6" s="14">
        <f>SUMIFS('Cơ hội'!$F$5:$F$200,'Cơ hội'!$B$5:$B$200,B6,'Cơ hội'!$E$5:$E$200,"Hoàn thành")</f>
        <v>0</v>
      </c>
    </row>
    <row r="7" ht="26.4" spans="1:15">
      <c r="A7" s="9">
        <v>3</v>
      </c>
      <c r="B7" s="9" t="s">
        <v>127</v>
      </c>
      <c r="C7" s="4" t="s">
        <v>128</v>
      </c>
      <c r="D7" s="4" t="s">
        <v>129</v>
      </c>
      <c r="E7" s="4" t="s">
        <v>130</v>
      </c>
      <c r="F7" s="16" t="s">
        <v>131</v>
      </c>
      <c r="G7" s="11" t="s">
        <v>66</v>
      </c>
      <c r="H7" s="11" t="s">
        <v>72</v>
      </c>
      <c r="I7" s="4" t="s">
        <v>119</v>
      </c>
      <c r="J7" s="4" t="s">
        <v>132</v>
      </c>
      <c r="K7" s="14">
        <f>COUNTIFS('Cơ hội'!$B$5:$B$200,B7)</f>
        <v>2</v>
      </c>
      <c r="L7" s="14">
        <f>SUMIFS('Cơ hội'!$F$5:$F$200,'Cơ hội'!$B$5:$B$200,B7)</f>
        <v>32000000</v>
      </c>
      <c r="M7" s="14">
        <f>SUMIFS('Cơ hội'!$F$5:$F$200,'Cơ hội'!$B$5:$B$200,B7,'Cơ hội'!$M$5:$M$200,"Đang mở")</f>
        <v>32000000</v>
      </c>
      <c r="N7" s="14">
        <f>SUMIFS('Cơ hội'!$H$5:$H$200,'Cơ hội'!$B$5:$B$200,B7,'Cơ hội'!$M$5:$M$200,"Đang mở")</f>
        <v>3200000</v>
      </c>
      <c r="O7" s="14">
        <f>SUMIFS('Cơ hội'!$F$5:$F$200,'Cơ hội'!$B$5:$B$200,B7,'Cơ hội'!$E$5:$E$200,"Hoàn thành")</f>
        <v>0</v>
      </c>
    </row>
    <row r="8" spans="1:15">
      <c r="A8" s="9">
        <v>4</v>
      </c>
      <c r="B8" s="9" t="s">
        <v>133</v>
      </c>
      <c r="C8" s="4" t="s">
        <v>134</v>
      </c>
      <c r="D8" s="4" t="s">
        <v>135</v>
      </c>
      <c r="E8" s="4" t="s">
        <v>136</v>
      </c>
      <c r="F8" s="16" t="s">
        <v>137</v>
      </c>
      <c r="G8" s="11" t="s">
        <v>66</v>
      </c>
      <c r="H8" s="11" t="s">
        <v>73</v>
      </c>
      <c r="I8" s="4" t="s">
        <v>119</v>
      </c>
      <c r="J8" s="4" t="s">
        <v>138</v>
      </c>
      <c r="K8" s="14">
        <f>COUNTIFS('Cơ hội'!$B$5:$B$200,B8)</f>
        <v>2</v>
      </c>
      <c r="L8" s="14">
        <f>SUMIFS('Cơ hội'!$F$5:$F$200,'Cơ hội'!$B$5:$B$200,B8)</f>
        <v>290000000</v>
      </c>
      <c r="M8" s="14">
        <f>SUMIFS('Cơ hội'!$F$5:$F$200,'Cơ hội'!$B$5:$B$200,B8,'Cơ hội'!$M$5:$M$200,"Đang mở")</f>
        <v>250000000</v>
      </c>
      <c r="N8" s="14">
        <f>SUMIFS('Cơ hội'!$H$5:$H$200,'Cơ hội'!$B$5:$B$200,B8,'Cơ hội'!$M$5:$M$200,"Đang mở")</f>
        <v>150000000</v>
      </c>
      <c r="O8" s="14">
        <f>SUMIFS('Cơ hội'!$F$5:$F$200,'Cơ hội'!$B$5:$B$200,B8,'Cơ hội'!$E$5:$E$200,"Hoàn thành")</f>
        <v>0</v>
      </c>
    </row>
    <row r="9" spans="1:15">
      <c r="A9" s="9">
        <v>5</v>
      </c>
      <c r="B9" s="9" t="s">
        <v>139</v>
      </c>
      <c r="C9" s="4" t="s">
        <v>140</v>
      </c>
      <c r="D9" s="4" t="s">
        <v>141</v>
      </c>
      <c r="E9" s="4" t="s">
        <v>142</v>
      </c>
      <c r="F9" s="16" t="s">
        <v>143</v>
      </c>
      <c r="G9" s="11" t="s">
        <v>65</v>
      </c>
      <c r="H9" s="11" t="s">
        <v>72</v>
      </c>
      <c r="I9" s="4" t="s">
        <v>119</v>
      </c>
      <c r="J9" s="4" t="s">
        <v>144</v>
      </c>
      <c r="K9" s="14">
        <f>COUNTIFS('Cơ hội'!$B$5:$B$200,B9)</f>
        <v>2</v>
      </c>
      <c r="L9" s="14">
        <f>SUMIFS('Cơ hội'!$F$5:$F$200,'Cơ hội'!$B$5:$B$200,B9)</f>
        <v>113000000</v>
      </c>
      <c r="M9" s="14">
        <f>SUMIFS('Cơ hội'!$F$5:$F$200,'Cơ hội'!$B$5:$B$200,B9,'Cơ hội'!$M$5:$M$200,"Đang mở")</f>
        <v>28000000</v>
      </c>
      <c r="N9" s="14">
        <f>SUMIFS('Cơ hội'!$H$5:$H$200,'Cơ hội'!$B$5:$B$200,B9,'Cơ hội'!$M$5:$M$200,"Đang mở")</f>
        <v>11200000</v>
      </c>
      <c r="O9" s="14">
        <f>SUMIFS('Cơ hội'!$F$5:$F$200,'Cơ hội'!$B$5:$B$200,B9,'Cơ hội'!$E$5:$E$200,"Hoàn thành")</f>
        <v>85000000</v>
      </c>
    </row>
    <row r="10" spans="1:15">
      <c r="A10" s="9">
        <v>6</v>
      </c>
      <c r="B10" s="9" t="s">
        <v>145</v>
      </c>
      <c r="C10" s="4" t="s">
        <v>146</v>
      </c>
      <c r="D10" s="4" t="s">
        <v>147</v>
      </c>
      <c r="E10" s="4" t="s">
        <v>148</v>
      </c>
      <c r="F10" s="16" t="s">
        <v>149</v>
      </c>
      <c r="G10" s="11" t="s">
        <v>67</v>
      </c>
      <c r="H10" s="11" t="s">
        <v>73</v>
      </c>
      <c r="I10" s="4" t="s">
        <v>119</v>
      </c>
      <c r="J10" s="4" t="s">
        <v>138</v>
      </c>
      <c r="K10" s="14">
        <f>COUNTIFS('Cơ hội'!$B$5:$B$200,B10)</f>
        <v>2</v>
      </c>
      <c r="L10" s="14">
        <f>SUMIFS('Cơ hội'!$F$5:$F$200,'Cơ hội'!$B$5:$B$200,B10)</f>
        <v>235000000</v>
      </c>
      <c r="M10" s="14">
        <f>SUMIFS('Cơ hội'!$F$5:$F$200,'Cơ hội'!$B$5:$B$200,B10,'Cơ hội'!$M$5:$M$200,"Đang mở")</f>
        <v>235000000</v>
      </c>
      <c r="N10" s="14">
        <f>SUMIFS('Cơ hội'!$H$5:$H$200,'Cơ hội'!$B$5:$B$200,B10,'Cơ hội'!$M$5:$M$200,"Đang mở")</f>
        <v>41500000</v>
      </c>
      <c r="O10" s="14">
        <f>SUMIFS('Cơ hội'!$F$5:$F$200,'Cơ hội'!$B$5:$B$200,B10,'Cơ hội'!$E$5:$E$200,"Hoàn thành")</f>
        <v>0</v>
      </c>
    </row>
    <row r="11" spans="1:15">
      <c r="A11" s="9">
        <v>7</v>
      </c>
      <c r="B11" s="9" t="s">
        <v>150</v>
      </c>
      <c r="C11" s="4" t="s">
        <v>151</v>
      </c>
      <c r="D11" s="4" t="s">
        <v>152</v>
      </c>
      <c r="E11" s="4" t="s">
        <v>153</v>
      </c>
      <c r="F11" s="16" t="s">
        <v>154</v>
      </c>
      <c r="G11" s="11" t="s">
        <v>65</v>
      </c>
      <c r="H11" s="11" t="s">
        <v>72</v>
      </c>
      <c r="I11" s="4" t="s">
        <v>119</v>
      </c>
      <c r="J11" s="4" t="s">
        <v>155</v>
      </c>
      <c r="K11" s="14">
        <f>COUNTIFS('Cơ hội'!$B$5:$B$200,B11)</f>
        <v>2</v>
      </c>
      <c r="L11" s="14">
        <f>SUMIFS('Cơ hội'!$F$5:$F$200,'Cơ hội'!$B$5:$B$200,B11)</f>
        <v>76000000</v>
      </c>
      <c r="M11" s="14">
        <f>SUMIFS('Cơ hội'!$F$5:$F$200,'Cơ hội'!$B$5:$B$200,B11,'Cơ hội'!$M$5:$M$200,"Đang mở")</f>
        <v>38000000</v>
      </c>
      <c r="N11" s="14">
        <f>SUMIFS('Cơ hội'!$H$5:$H$200,'Cơ hội'!$B$5:$B$200,B11,'Cơ hội'!$M$5:$M$200,"Đang mở")</f>
        <v>22800000</v>
      </c>
      <c r="O11" s="14">
        <f>SUMIFS('Cơ hội'!$F$5:$F$200,'Cơ hội'!$B$5:$B$200,B11,'Cơ hội'!$E$5:$E$200,"Hoàn thành")</f>
        <v>38000000</v>
      </c>
    </row>
    <row r="12" spans="1:15">
      <c r="A12" s="9">
        <v>8</v>
      </c>
      <c r="B12" s="9" t="s">
        <v>156</v>
      </c>
      <c r="C12" s="4" t="s">
        <v>157</v>
      </c>
      <c r="D12" s="4" t="s">
        <v>158</v>
      </c>
      <c r="E12" s="4" t="s">
        <v>159</v>
      </c>
      <c r="F12" s="16" t="s">
        <v>160</v>
      </c>
      <c r="G12" s="11" t="s">
        <v>66</v>
      </c>
      <c r="H12" s="11" t="s">
        <v>73</v>
      </c>
      <c r="I12" s="4" t="s">
        <v>119</v>
      </c>
      <c r="J12" s="4" t="s">
        <v>138</v>
      </c>
      <c r="K12" s="14">
        <f>COUNTIFS('Cơ hội'!$B$5:$B$200,B12)</f>
        <v>2</v>
      </c>
      <c r="L12" s="14">
        <f>SUMIFS('Cơ hội'!$F$5:$F$200,'Cơ hội'!$B$5:$B$200,B12)</f>
        <v>95000000</v>
      </c>
      <c r="M12" s="14">
        <f>SUMIFS('Cơ hội'!$F$5:$F$200,'Cơ hội'!$B$5:$B$200,B12,'Cơ hội'!$M$5:$M$200,"Đang mở")</f>
        <v>0</v>
      </c>
      <c r="N12" s="14">
        <f>SUMIFS('Cơ hội'!$H$5:$H$200,'Cơ hội'!$B$5:$B$200,B12,'Cơ hội'!$M$5:$M$200,"Đang mở")</f>
        <v>0</v>
      </c>
      <c r="O12" s="14">
        <f>SUMIFS('Cơ hội'!$F$5:$F$200,'Cơ hội'!$B$5:$B$200,B12,'Cơ hội'!$E$5:$E$200,"Hoàn thành")</f>
        <v>0</v>
      </c>
    </row>
    <row r="13" ht="26.4" spans="1:15">
      <c r="A13" s="9">
        <v>9</v>
      </c>
      <c r="B13" s="9" t="s">
        <v>161</v>
      </c>
      <c r="C13" s="4" t="s">
        <v>162</v>
      </c>
      <c r="D13" s="4" t="s">
        <v>163</v>
      </c>
      <c r="E13" s="4" t="s">
        <v>164</v>
      </c>
      <c r="F13" s="16" t="s">
        <v>165</v>
      </c>
      <c r="G13" s="11" t="s">
        <v>66</v>
      </c>
      <c r="H13" s="11" t="s">
        <v>72</v>
      </c>
      <c r="I13" s="4" t="s">
        <v>119</v>
      </c>
      <c r="J13" s="4" t="s">
        <v>166</v>
      </c>
      <c r="K13" s="14">
        <f>COUNTIFS('Cơ hội'!$B$5:$B$200,B13)</f>
        <v>2</v>
      </c>
      <c r="L13" s="14">
        <f>SUMIFS('Cơ hội'!$F$5:$F$200,'Cơ hội'!$B$5:$B$200,B13)</f>
        <v>82000000</v>
      </c>
      <c r="M13" s="14">
        <f>SUMIFS('Cơ hội'!$F$5:$F$200,'Cơ hội'!$B$5:$B$200,B13,'Cơ hội'!$M$5:$M$200,"Đang mở")</f>
        <v>82000000</v>
      </c>
      <c r="N13" s="14">
        <f>SUMIFS('Cơ hội'!$H$5:$H$200,'Cơ hội'!$B$5:$B$200,B13,'Cơ hội'!$M$5:$M$200,"Đang mở")</f>
        <v>28400000</v>
      </c>
      <c r="O13" s="14">
        <f>SUMIFS('Cơ hội'!$F$5:$F$200,'Cơ hội'!$B$5:$B$200,B13,'Cơ hội'!$E$5:$E$200,"Hoàn thành")</f>
        <v>0</v>
      </c>
    </row>
    <row r="14" ht="26.4" spans="1:15">
      <c r="A14" s="9">
        <v>10</v>
      </c>
      <c r="B14" s="9" t="s">
        <v>167</v>
      </c>
      <c r="C14" s="4" t="s">
        <v>168</v>
      </c>
      <c r="D14" s="4" t="s">
        <v>169</v>
      </c>
      <c r="E14" s="4" t="s">
        <v>170</v>
      </c>
      <c r="F14" s="16" t="s">
        <v>171</v>
      </c>
      <c r="G14" s="11" t="s">
        <v>68</v>
      </c>
      <c r="H14" s="11" t="s">
        <v>73</v>
      </c>
      <c r="I14" s="4" t="s">
        <v>119</v>
      </c>
      <c r="J14" s="4" t="s">
        <v>172</v>
      </c>
      <c r="K14" s="14">
        <f>COUNTIFS('Cơ hội'!$B$5:$B$200,B14)</f>
        <v>2</v>
      </c>
      <c r="L14" s="14">
        <f>SUMIFS('Cơ hội'!$F$5:$F$200,'Cơ hội'!$B$5:$B$200,B14)</f>
        <v>240000000</v>
      </c>
      <c r="M14" s="14">
        <f>SUMIFS('Cơ hội'!$F$5:$F$200,'Cơ hội'!$B$5:$B$200,B14,'Cơ hội'!$M$5:$M$200,"Đang mở")</f>
        <v>90000000</v>
      </c>
      <c r="N14" s="14">
        <f>SUMIFS('Cơ hội'!$H$5:$H$200,'Cơ hội'!$B$5:$B$200,B14,'Cơ hội'!$M$5:$M$200,"Đang mở")</f>
        <v>54000000</v>
      </c>
      <c r="O14" s="14">
        <f>SUMIFS('Cơ hội'!$F$5:$F$200,'Cơ hội'!$B$5:$B$200,B14,'Cơ hội'!$E$5:$E$200,"Hoàn thành")</f>
        <v>150000000</v>
      </c>
    </row>
    <row r="15" spans="1:15">
      <c r="A15" s="9">
        <v>11</v>
      </c>
      <c r="B15" s="9" t="s">
        <v>173</v>
      </c>
      <c r="C15" s="4" t="s">
        <v>174</v>
      </c>
      <c r="D15" s="4" t="s">
        <v>175</v>
      </c>
      <c r="E15" s="4" t="s">
        <v>176</v>
      </c>
      <c r="F15" s="16" t="s">
        <v>177</v>
      </c>
      <c r="G15" s="11" t="s">
        <v>67</v>
      </c>
      <c r="H15" s="11" t="s">
        <v>72</v>
      </c>
      <c r="I15" s="4" t="s">
        <v>119</v>
      </c>
      <c r="J15" s="4" t="s">
        <v>138</v>
      </c>
      <c r="K15" s="14">
        <f>COUNTIFS('Cơ hội'!$B$5:$B$200,B15)</f>
        <v>2</v>
      </c>
      <c r="L15" s="14">
        <f>SUMIFS('Cơ hội'!$F$5:$F$200,'Cơ hội'!$B$5:$B$200,B15)</f>
        <v>48000000</v>
      </c>
      <c r="M15" s="14">
        <f>SUMIFS('Cơ hội'!$F$5:$F$200,'Cơ hội'!$B$5:$B$200,B15,'Cơ hội'!$M$5:$M$200,"Đang mở")</f>
        <v>48000000</v>
      </c>
      <c r="N15" s="14">
        <f>SUMIFS('Cơ hội'!$H$5:$H$200,'Cơ hội'!$B$5:$B$200,B15,'Cơ hội'!$M$5:$M$200,"Đang mở")</f>
        <v>9600000</v>
      </c>
      <c r="O15" s="14">
        <f>SUMIFS('Cơ hội'!$F$5:$F$200,'Cơ hội'!$B$5:$B$200,B15,'Cơ hội'!$E$5:$E$200,"Hoàn thành")</f>
        <v>0</v>
      </c>
    </row>
    <row r="16" spans="1:15">
      <c r="A16" s="9">
        <v>12</v>
      </c>
      <c r="B16" s="9" t="s">
        <v>178</v>
      </c>
      <c r="C16" s="4" t="s">
        <v>179</v>
      </c>
      <c r="D16" s="4" t="s">
        <v>180</v>
      </c>
      <c r="E16" s="4" t="s">
        <v>181</v>
      </c>
      <c r="F16" s="16" t="s">
        <v>182</v>
      </c>
      <c r="G16" s="11" t="s">
        <v>67</v>
      </c>
      <c r="H16" s="11" t="s">
        <v>73</v>
      </c>
      <c r="I16" s="4" t="s">
        <v>119</v>
      </c>
      <c r="J16" s="4" t="s">
        <v>183</v>
      </c>
      <c r="K16" s="14">
        <f>COUNTIFS('Cơ hội'!$B$5:$B$200,B16)</f>
        <v>2</v>
      </c>
      <c r="L16" s="14">
        <f>SUMIFS('Cơ hội'!$F$5:$F$200,'Cơ hội'!$B$5:$B$200,B16)</f>
        <v>41000000</v>
      </c>
      <c r="M16" s="14">
        <f>SUMIFS('Cơ hội'!$F$5:$F$200,'Cơ hội'!$B$5:$B$200,B16,'Cơ hội'!$M$5:$M$200,"Đang mở")</f>
        <v>26000000</v>
      </c>
      <c r="N16" s="14">
        <f>SUMIFS('Cơ hội'!$H$5:$H$200,'Cơ hội'!$B$5:$B$200,B16,'Cơ hội'!$M$5:$M$200,"Đang mở")</f>
        <v>2600000</v>
      </c>
      <c r="O16" s="14">
        <f>SUMIFS('Cơ hội'!$F$5:$F$200,'Cơ hội'!$B$5:$B$200,B16,'Cơ hội'!$E$5:$E$200,"Hoàn thành")</f>
        <v>0</v>
      </c>
    </row>
  </sheetData>
  <autoFilter xmlns:etc="http://www.wps.cn/officeDocument/2017/etCustomData" ref="A4:O16" etc:filterBottomFollowUsedRange="0">
    <extLst/>
  </autoFilter>
  <dataValidations count="2">
    <dataValidation type="list" allowBlank="1" showInputMessage="1" showErrorMessage="1" errorTitle="Dữ liệu không hợp lệ" error="Giá trị không nằm trong danh sách cho phép." promptTitle="Chọn giá trị" prompt="Chọn loại khách hàng" sqref="G5:G200">
      <formula1>"Khách hàng thân thiết,Khách hàng tiềm năng,Khách hàng mới,Khách hàng VIP"</formula1>
    </dataValidation>
    <dataValidation type="list" allowBlank="1" showInputMessage="1" showErrorMessage="1" errorTitle="Dữ liệu không hợp lệ" error="Giá trị không nằm trong danh sách cho phép." promptTitle="Chọn giá trị" prompt="Chọn nhân viên phụ trách" sqref="H5:H200">
      <formula1>"Nguyễn Văn An,Hoàng Văn Đức"</formula1>
    </dataValidation>
  </dataValidation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28"/>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cols>
    <col min="1" max="1" width="11" customWidth="1"/>
    <col min="2" max="2" width="9" customWidth="1"/>
    <col min="3" max="3" width="32" customWidth="1"/>
    <col min="4" max="4" width="40" customWidth="1"/>
    <col min="5" max="5" width="13" customWidth="1"/>
    <col min="6" max="6" width="16" customWidth="1"/>
    <col min="7" max="7" width="11" customWidth="1"/>
    <col min="8" max="8" width="17" customWidth="1"/>
    <col min="9" max="9" width="13" customWidth="1"/>
    <col min="10" max="10" width="10" customWidth="1"/>
    <col min="11" max="11" width="11" customWidth="1"/>
    <col min="12" max="12" width="18" customWidth="1"/>
    <col min="13" max="13" width="11" customWidth="1"/>
  </cols>
  <sheetData>
    <row r="1" ht="22" customHeight="1" spans="1:13">
      <c r="A1" s="1" t="s">
        <v>184</v>
      </c>
    </row>
    <row r="2" spans="1:13">
      <c r="A2" s="2" t="s">
        <v>185</v>
      </c>
    </row>
    <row r="4" ht="44" customHeight="1" spans="1:13">
      <c r="A4" s="3" t="s">
        <v>186</v>
      </c>
      <c r="B4" s="3" t="s">
        <v>106</v>
      </c>
      <c r="C4" s="3" t="s">
        <v>26</v>
      </c>
      <c r="D4" s="3" t="s">
        <v>187</v>
      </c>
      <c r="E4" s="3" t="s">
        <v>52</v>
      </c>
      <c r="F4" s="3" t="s">
        <v>188</v>
      </c>
      <c r="G4" s="3" t="s">
        <v>189</v>
      </c>
      <c r="H4" s="3" t="s">
        <v>55</v>
      </c>
      <c r="I4" s="3" t="s">
        <v>190</v>
      </c>
      <c r="J4" s="3" t="s">
        <v>191</v>
      </c>
      <c r="K4" s="3" t="s">
        <v>192</v>
      </c>
      <c r="L4" s="3" t="s">
        <v>70</v>
      </c>
      <c r="M4" s="3" t="s">
        <v>57</v>
      </c>
    </row>
    <row r="5" spans="1:13">
      <c r="A5" s="9" t="s">
        <v>193</v>
      </c>
      <c r="B5" s="10" t="s">
        <v>114</v>
      </c>
      <c r="C5" s="4" t="str">
        <f>IFERROR(INDEX('Khách hàng'!$C$5:$C$200,MATCH(B5,'Khách hàng'!$B$5:$B$200,0)),"")</f>
        <v>Công ty TNHH Thương mại Đại Phát</v>
      </c>
      <c r="D5" s="11" t="s">
        <v>194</v>
      </c>
      <c r="E5" s="10" t="s">
        <v>195</v>
      </c>
      <c r="F5" s="12">
        <v>45000000</v>
      </c>
      <c r="G5" s="13">
        <f>IFERROR(INDEX('Tham số'!$C$5:$C$10,MATCH(E5,'Tham số'!$B$5:$B$10,0)),0)</f>
        <v>1</v>
      </c>
      <c r="H5" s="14">
        <f t="shared" ref="H5:H28" si="0">F5*G5</f>
        <v>45000000</v>
      </c>
      <c r="I5" s="15">
        <v>46281</v>
      </c>
      <c r="J5" s="9" t="str">
        <f t="shared" ref="J5:J28" si="1">IF(I5="","","Q"&amp;ROUNDUP(MONTH(I5)/3,0)&amp;"/"&amp;YEAR(I5))</f>
        <v>Q3/2026</v>
      </c>
      <c r="K5" s="9" t="str">
        <f>IF(AND(I5&gt;='Tham số'!$B$14,I5&lt;='Tham số'!$B$15),"Có","Không")</f>
        <v>Không</v>
      </c>
      <c r="L5" s="4" t="str">
        <f>IFERROR(INDEX('Khách hàng'!$H$5:$H$200,MATCH(B5,'Khách hàng'!$B$5:$B$200,0)),"")</f>
        <v>Nguyễn Văn An</v>
      </c>
      <c r="M5" s="9" t="str">
        <f>IFERROR(INDEX('Tham số'!$D$5:$D$10,MATCH(E5,'Tham số'!$B$5:$B$10,0)),"")</f>
        <v>Đã đóng</v>
      </c>
    </row>
    <row r="6" spans="1:13">
      <c r="A6" s="9" t="s">
        <v>196</v>
      </c>
      <c r="B6" s="10" t="s">
        <v>114</v>
      </c>
      <c r="C6" s="4" t="str">
        <f>IFERROR(INDEX('Khách hàng'!$C$5:$C$200,MATCH(B6,'Khách hàng'!$B$5:$B$200,0)),"")</f>
        <v>Công ty TNHH Thương mại Đại Phát</v>
      </c>
      <c r="D6" s="11" t="s">
        <v>197</v>
      </c>
      <c r="E6" s="10" t="s">
        <v>198</v>
      </c>
      <c r="F6" s="12">
        <v>18000000</v>
      </c>
      <c r="G6" s="13">
        <f>IFERROR(INDEX('Tham số'!$C$5:$C$10,MATCH(E6,'Tham số'!$B$5:$B$10,0)),0)</f>
        <v>0.6</v>
      </c>
      <c r="H6" s="14">
        <f t="shared" si="0"/>
        <v>10800000</v>
      </c>
      <c r="I6" s="15">
        <v>46341</v>
      </c>
      <c r="J6" s="9" t="str">
        <f t="shared" si="1"/>
        <v>Q4/2026</v>
      </c>
      <c r="K6" s="9" t="str">
        <f>IF(AND(I6&gt;='Tham số'!$B$14,I6&lt;='Tham số'!$B$15),"Có","Không")</f>
        <v>Có</v>
      </c>
      <c r="L6" s="4" t="str">
        <f>IFERROR(INDEX('Khách hàng'!$H$5:$H$200,MATCH(B6,'Khách hàng'!$B$5:$B$200,0)),"")</f>
        <v>Nguyễn Văn An</v>
      </c>
      <c r="M6" s="9" t="str">
        <f>IFERROR(INDEX('Tham số'!$D$5:$D$10,MATCH(E6,'Tham số'!$B$5:$B$10,0)),"")</f>
        <v>Đang mở</v>
      </c>
    </row>
    <row r="7" spans="1:13">
      <c r="A7" s="9" t="s">
        <v>199</v>
      </c>
      <c r="B7" s="10" t="s">
        <v>121</v>
      </c>
      <c r="C7" s="4" t="str">
        <f>IFERROR(INDEX('Khách hàng'!$C$5:$C$200,MATCH(B7,'Khách hàng'!$B$5:$B$200,0)),"")</f>
        <v>Công ty CP Thực phẩm Hương Việt</v>
      </c>
      <c r="D7" s="11" t="s">
        <v>200</v>
      </c>
      <c r="E7" s="10" t="s">
        <v>201</v>
      </c>
      <c r="F7" s="12">
        <v>120000000</v>
      </c>
      <c r="G7" s="13">
        <f>IFERROR(INDEX('Tham số'!$C$5:$C$10,MATCH(E7,'Tham số'!$B$5:$B$10,0)),0)</f>
        <v>0.4</v>
      </c>
      <c r="H7" s="14">
        <f t="shared" si="0"/>
        <v>48000000</v>
      </c>
      <c r="I7" s="15">
        <v>46351</v>
      </c>
      <c r="J7" s="9" t="str">
        <f t="shared" si="1"/>
        <v>Q4/2026</v>
      </c>
      <c r="K7" s="9" t="str">
        <f>IF(AND(I7&gt;='Tham số'!$B$14,I7&lt;='Tham số'!$B$15),"Có","Không")</f>
        <v>Có</v>
      </c>
      <c r="L7" s="4" t="str">
        <f>IFERROR(INDEX('Khách hàng'!$H$5:$H$200,MATCH(B7,'Khách hàng'!$B$5:$B$200,0)),"")</f>
        <v>Hoàng Văn Đức</v>
      </c>
      <c r="M7" s="9" t="str">
        <f>IFERROR(INDEX('Tham số'!$D$5:$D$10,MATCH(E7,'Tham số'!$B$5:$B$10,0)),"")</f>
        <v>Đang mở</v>
      </c>
    </row>
    <row r="8" spans="1:13">
      <c r="A8" s="9" t="s">
        <v>202</v>
      </c>
      <c r="B8" s="10" t="s">
        <v>121</v>
      </c>
      <c r="C8" s="4" t="str">
        <f>IFERROR(INDEX('Khách hàng'!$C$5:$C$200,MATCH(B8,'Khách hàng'!$B$5:$B$200,0)),"")</f>
        <v>Công ty CP Thực phẩm Hương Việt</v>
      </c>
      <c r="D8" s="11" t="s">
        <v>203</v>
      </c>
      <c r="E8" s="10" t="s">
        <v>204</v>
      </c>
      <c r="F8" s="12">
        <v>65000000</v>
      </c>
      <c r="G8" s="13">
        <f>IFERROR(INDEX('Tham số'!$C$5:$C$10,MATCH(E8,'Tham số'!$B$5:$B$10,0)),0)</f>
        <v>0.2</v>
      </c>
      <c r="H8" s="14">
        <f t="shared" si="0"/>
        <v>13000000</v>
      </c>
      <c r="I8" s="15">
        <v>46366</v>
      </c>
      <c r="J8" s="9" t="str">
        <f t="shared" si="1"/>
        <v>Q4/2026</v>
      </c>
      <c r="K8" s="9" t="str">
        <f>IF(AND(I8&gt;='Tham số'!$B$14,I8&lt;='Tham số'!$B$15),"Có","Không")</f>
        <v>Có</v>
      </c>
      <c r="L8" s="4" t="str">
        <f>IFERROR(INDEX('Khách hàng'!$H$5:$H$200,MATCH(B8,'Khách hàng'!$B$5:$B$200,0)),"")</f>
        <v>Hoàng Văn Đức</v>
      </c>
      <c r="M8" s="9" t="str">
        <f>IFERROR(INDEX('Tham số'!$D$5:$D$10,MATCH(E8,'Tham số'!$B$5:$B$10,0)),"")</f>
        <v>Đang mở</v>
      </c>
    </row>
    <row r="9" spans="1:13">
      <c r="A9" s="9" t="s">
        <v>205</v>
      </c>
      <c r="B9" s="10" t="s">
        <v>127</v>
      </c>
      <c r="C9" s="4" t="str">
        <f>IFERROR(INDEX('Khách hàng'!$C$5:$C$200,MATCH(B9,'Khách hàng'!$B$5:$B$200,0)),"")</f>
        <v>Xưởng May Thành Công</v>
      </c>
      <c r="D9" s="11" t="s">
        <v>206</v>
      </c>
      <c r="E9" s="10" t="s">
        <v>207</v>
      </c>
      <c r="F9" s="12">
        <v>32000000</v>
      </c>
      <c r="G9" s="13">
        <f>IFERROR(INDEX('Tham số'!$C$5:$C$10,MATCH(E9,'Tham số'!$B$5:$B$10,0)),0)</f>
        <v>0.1</v>
      </c>
      <c r="H9" s="14">
        <f t="shared" si="0"/>
        <v>3200000</v>
      </c>
      <c r="I9" s="15">
        <v>46381</v>
      </c>
      <c r="J9" s="9" t="str">
        <f t="shared" si="1"/>
        <v>Q4/2026</v>
      </c>
      <c r="K9" s="9" t="str">
        <f>IF(AND(I9&gt;='Tham số'!$B$14,I9&lt;='Tham số'!$B$15),"Có","Không")</f>
        <v>Có</v>
      </c>
      <c r="L9" s="4" t="str">
        <f>IFERROR(INDEX('Khách hàng'!$H$5:$H$200,MATCH(B9,'Khách hàng'!$B$5:$B$200,0)),"")</f>
        <v>Nguyễn Văn An</v>
      </c>
      <c r="M9" s="9" t="str">
        <f>IFERROR(INDEX('Tham số'!$D$5:$D$10,MATCH(E9,'Tham số'!$B$5:$B$10,0)),"")</f>
        <v>Đang mở</v>
      </c>
    </row>
    <row r="10" spans="1:13">
      <c r="A10" s="9" t="s">
        <v>208</v>
      </c>
      <c r="B10" s="10" t="s">
        <v>127</v>
      </c>
      <c r="C10" s="4" t="str">
        <f>IFERROR(INDEX('Khách hàng'!$C$5:$C$200,MATCH(B10,'Khách hàng'!$B$5:$B$200,0)),"")</f>
        <v>Xưởng May Thành Công</v>
      </c>
      <c r="D10" s="11" t="s">
        <v>209</v>
      </c>
      <c r="E10" s="10" t="s">
        <v>204</v>
      </c>
      <c r="F10" s="12">
        <v>0</v>
      </c>
      <c r="G10" s="13">
        <f>IFERROR(INDEX('Tham số'!$C$5:$C$10,MATCH(E10,'Tham số'!$B$5:$B$10,0)),0)</f>
        <v>0.2</v>
      </c>
      <c r="H10" s="14">
        <f t="shared" si="0"/>
        <v>0</v>
      </c>
      <c r="I10" s="15">
        <v>46346</v>
      </c>
      <c r="J10" s="9" t="str">
        <f t="shared" si="1"/>
        <v>Q4/2026</v>
      </c>
      <c r="K10" s="9" t="str">
        <f>IF(AND(I10&gt;='Tham số'!$B$14,I10&lt;='Tham số'!$B$15),"Có","Không")</f>
        <v>Có</v>
      </c>
      <c r="L10" s="4" t="str">
        <f>IFERROR(INDEX('Khách hàng'!$H$5:$H$200,MATCH(B10,'Khách hàng'!$B$5:$B$200,0)),"")</f>
        <v>Nguyễn Văn An</v>
      </c>
      <c r="M10" s="9" t="str">
        <f>IFERROR(INDEX('Tham số'!$D$5:$D$10,MATCH(E10,'Tham số'!$B$5:$B$10,0)),"")</f>
        <v>Đang mở</v>
      </c>
    </row>
    <row r="11" spans="1:13">
      <c r="A11" s="9" t="s">
        <v>210</v>
      </c>
      <c r="B11" s="10" t="s">
        <v>133</v>
      </c>
      <c r="C11" s="4" t="str">
        <f>IFERROR(INDEX('Khách hàng'!$C$5:$C$200,MATCH(B11,'Khách hàng'!$B$5:$B$200,0)),"")</f>
        <v>Công ty TNHH Xây dựng Phú Cường</v>
      </c>
      <c r="D11" s="11" t="s">
        <v>211</v>
      </c>
      <c r="E11" s="10" t="s">
        <v>198</v>
      </c>
      <c r="F11" s="12">
        <v>250000000</v>
      </c>
      <c r="G11" s="13">
        <f>IFERROR(INDEX('Tham số'!$C$5:$C$10,MATCH(E11,'Tham số'!$B$5:$B$10,0)),0)</f>
        <v>0.6</v>
      </c>
      <c r="H11" s="14">
        <f t="shared" si="0"/>
        <v>150000000</v>
      </c>
      <c r="I11" s="15">
        <v>46336</v>
      </c>
      <c r="J11" s="9" t="str">
        <f t="shared" si="1"/>
        <v>Q4/2026</v>
      </c>
      <c r="K11" s="9" t="str">
        <f>IF(AND(I11&gt;='Tham số'!$B$14,I11&lt;='Tham số'!$B$15),"Có","Không")</f>
        <v>Có</v>
      </c>
      <c r="L11" s="4" t="str">
        <f>IFERROR(INDEX('Khách hàng'!$H$5:$H$200,MATCH(B11,'Khách hàng'!$B$5:$B$200,0)),"")</f>
        <v>Hoàng Văn Đức</v>
      </c>
      <c r="M11" s="9" t="str">
        <f>IFERROR(INDEX('Tham số'!$D$5:$D$10,MATCH(E11,'Tham số'!$B$5:$B$10,0)),"")</f>
        <v>Đang mở</v>
      </c>
    </row>
    <row r="12" spans="1:13">
      <c r="A12" s="9" t="s">
        <v>212</v>
      </c>
      <c r="B12" s="10" t="s">
        <v>133</v>
      </c>
      <c r="C12" s="4" t="str">
        <f>IFERROR(INDEX('Khách hàng'!$C$5:$C$200,MATCH(B12,'Khách hàng'!$B$5:$B$200,0)),"")</f>
        <v>Công ty TNHH Xây dựng Phú Cường</v>
      </c>
      <c r="D12" s="11" t="s">
        <v>213</v>
      </c>
      <c r="E12" s="10" t="s">
        <v>214</v>
      </c>
      <c r="F12" s="12">
        <v>40000000</v>
      </c>
      <c r="G12" s="13">
        <f>IFERROR(INDEX('Tham số'!$C$5:$C$10,MATCH(E12,'Tham số'!$B$5:$B$10,0)),0)</f>
        <v>0</v>
      </c>
      <c r="H12" s="14">
        <f t="shared" si="0"/>
        <v>0</v>
      </c>
      <c r="I12" s="15">
        <v>46311</v>
      </c>
      <c r="J12" s="9" t="str">
        <f t="shared" si="1"/>
        <v>Q4/2026</v>
      </c>
      <c r="K12" s="9" t="str">
        <f>IF(AND(I12&gt;='Tham số'!$B$14,I12&lt;='Tham số'!$B$15),"Có","Không")</f>
        <v>Có</v>
      </c>
      <c r="L12" s="4" t="str">
        <f>IFERROR(INDEX('Khách hàng'!$H$5:$H$200,MATCH(B12,'Khách hàng'!$B$5:$B$200,0)),"")</f>
        <v>Hoàng Văn Đức</v>
      </c>
      <c r="M12" s="9" t="str">
        <f>IFERROR(INDEX('Tham số'!$D$5:$D$10,MATCH(E12,'Tham số'!$B$5:$B$10,0)),"")</f>
        <v>Đã đóng</v>
      </c>
    </row>
    <row r="13" spans="1:13">
      <c r="A13" s="9" t="s">
        <v>215</v>
      </c>
      <c r="B13" s="10" t="s">
        <v>139</v>
      </c>
      <c r="C13" s="4" t="str">
        <f>IFERROR(INDEX('Khách hàng'!$C$5:$C$200,MATCH(B13,'Khách hàng'!$B$5:$B$200,0)),"")</f>
        <v>Chuỗi Cà phê Hạt Dẻ</v>
      </c>
      <c r="D13" s="11" t="s">
        <v>216</v>
      </c>
      <c r="E13" s="10" t="s">
        <v>195</v>
      </c>
      <c r="F13" s="12">
        <v>85000000</v>
      </c>
      <c r="G13" s="13">
        <f>IFERROR(INDEX('Tham số'!$C$5:$C$10,MATCH(E13,'Tham số'!$B$5:$B$10,0)),0)</f>
        <v>1</v>
      </c>
      <c r="H13" s="14">
        <f t="shared" si="0"/>
        <v>85000000</v>
      </c>
      <c r="I13" s="15">
        <v>46306</v>
      </c>
      <c r="J13" s="9" t="str">
        <f t="shared" si="1"/>
        <v>Q4/2026</v>
      </c>
      <c r="K13" s="9" t="str">
        <f>IF(AND(I13&gt;='Tham số'!$B$14,I13&lt;='Tham số'!$B$15),"Có","Không")</f>
        <v>Có</v>
      </c>
      <c r="L13" s="4" t="str">
        <f>IFERROR(INDEX('Khách hàng'!$H$5:$H$200,MATCH(B13,'Khách hàng'!$B$5:$B$200,0)),"")</f>
        <v>Nguyễn Văn An</v>
      </c>
      <c r="M13" s="9" t="str">
        <f>IFERROR(INDEX('Tham số'!$D$5:$D$10,MATCH(E13,'Tham số'!$B$5:$B$10,0)),"")</f>
        <v>Đã đóng</v>
      </c>
    </row>
    <row r="14" spans="1:13">
      <c r="A14" s="9" t="s">
        <v>217</v>
      </c>
      <c r="B14" s="10" t="s">
        <v>139</v>
      </c>
      <c r="C14" s="4" t="str">
        <f>IFERROR(INDEX('Khách hàng'!$C$5:$C$200,MATCH(B14,'Khách hàng'!$B$5:$B$200,0)),"")</f>
        <v>Chuỗi Cà phê Hạt Dẻ</v>
      </c>
      <c r="D14" s="11" t="s">
        <v>218</v>
      </c>
      <c r="E14" s="10" t="s">
        <v>201</v>
      </c>
      <c r="F14" s="12">
        <v>28000000</v>
      </c>
      <c r="G14" s="13">
        <f>IFERROR(INDEX('Tham số'!$C$5:$C$10,MATCH(E14,'Tham số'!$B$5:$B$10,0)),0)</f>
        <v>0.4</v>
      </c>
      <c r="H14" s="14">
        <f t="shared" si="0"/>
        <v>11200000</v>
      </c>
      <c r="I14" s="15">
        <v>46356</v>
      </c>
      <c r="J14" s="9" t="str">
        <f t="shared" si="1"/>
        <v>Q4/2026</v>
      </c>
      <c r="K14" s="9" t="str">
        <f>IF(AND(I14&gt;='Tham số'!$B$14,I14&lt;='Tham số'!$B$15),"Có","Không")</f>
        <v>Có</v>
      </c>
      <c r="L14" s="4" t="str">
        <f>IFERROR(INDEX('Khách hàng'!$H$5:$H$200,MATCH(B14,'Khách hàng'!$B$5:$B$200,0)),"")</f>
        <v>Nguyễn Văn An</v>
      </c>
      <c r="M14" s="9" t="str">
        <f>IFERROR(INDEX('Tham số'!$D$5:$D$10,MATCH(E14,'Tham số'!$B$5:$B$10,0)),"")</f>
        <v>Đang mở</v>
      </c>
    </row>
    <row r="15" spans="1:13">
      <c r="A15" s="9" t="s">
        <v>219</v>
      </c>
      <c r="B15" s="10" t="s">
        <v>145</v>
      </c>
      <c r="C15" s="4" t="str">
        <f>IFERROR(INDEX('Khách hàng'!$C$5:$C$200,MATCH(B15,'Khách hàng'!$B$5:$B$200,0)),"")</f>
        <v>Công ty CP Vận tải Bảo Long</v>
      </c>
      <c r="D15" s="11" t="s">
        <v>220</v>
      </c>
      <c r="E15" s="10" t="s">
        <v>204</v>
      </c>
      <c r="F15" s="12">
        <v>180000000</v>
      </c>
      <c r="G15" s="13">
        <f>IFERROR(INDEX('Tham số'!$C$5:$C$10,MATCH(E15,'Tham số'!$B$5:$B$10,0)),0)</f>
        <v>0.2</v>
      </c>
      <c r="H15" s="14">
        <f t="shared" si="0"/>
        <v>36000000</v>
      </c>
      <c r="I15" s="15">
        <v>46371</v>
      </c>
      <c r="J15" s="9" t="str">
        <f t="shared" si="1"/>
        <v>Q4/2026</v>
      </c>
      <c r="K15" s="9" t="str">
        <f>IF(AND(I15&gt;='Tham số'!$B$14,I15&lt;='Tham số'!$B$15),"Có","Không")</f>
        <v>Có</v>
      </c>
      <c r="L15" s="4" t="str">
        <f>IFERROR(INDEX('Khách hàng'!$H$5:$H$200,MATCH(B15,'Khách hàng'!$B$5:$B$200,0)),"")</f>
        <v>Hoàng Văn Đức</v>
      </c>
      <c r="M15" s="9" t="str">
        <f>IFERROR(INDEX('Tham số'!$D$5:$D$10,MATCH(E15,'Tham số'!$B$5:$B$10,0)),"")</f>
        <v>Đang mở</v>
      </c>
    </row>
    <row r="16" spans="1:13">
      <c r="A16" s="9" t="s">
        <v>221</v>
      </c>
      <c r="B16" s="10" t="s">
        <v>145</v>
      </c>
      <c r="C16" s="4" t="str">
        <f>IFERROR(INDEX('Khách hàng'!$C$5:$C$200,MATCH(B16,'Khách hàng'!$B$5:$B$200,0)),"")</f>
        <v>Công ty CP Vận tải Bảo Long</v>
      </c>
      <c r="D16" s="11" t="s">
        <v>222</v>
      </c>
      <c r="E16" s="10" t="s">
        <v>207</v>
      </c>
      <c r="F16" s="12">
        <v>55000000</v>
      </c>
      <c r="G16" s="13">
        <f>IFERROR(INDEX('Tham số'!$C$5:$C$10,MATCH(E16,'Tham số'!$B$5:$B$10,0)),0)</f>
        <v>0.1</v>
      </c>
      <c r="H16" s="14">
        <f t="shared" si="0"/>
        <v>5500000</v>
      </c>
      <c r="I16" s="15">
        <v>46391</v>
      </c>
      <c r="J16" s="9" t="str">
        <f t="shared" si="1"/>
        <v>Q1/2027</v>
      </c>
      <c r="K16" s="9" t="str">
        <f>IF(AND(I16&gt;='Tham số'!$B$14,I16&lt;='Tham số'!$B$15),"Có","Không")</f>
        <v>Không</v>
      </c>
      <c r="L16" s="4" t="str">
        <f>IFERROR(INDEX('Khách hàng'!$H$5:$H$200,MATCH(B16,'Khách hàng'!$B$5:$B$200,0)),"")</f>
        <v>Hoàng Văn Đức</v>
      </c>
      <c r="M16" s="9" t="str">
        <f>IFERROR(INDEX('Tham số'!$D$5:$D$10,MATCH(E16,'Tham số'!$B$5:$B$10,0)),"")</f>
        <v>Đang mở</v>
      </c>
    </row>
    <row r="17" spans="1:13">
      <c r="A17" s="9" t="s">
        <v>223</v>
      </c>
      <c r="B17" s="10" t="s">
        <v>150</v>
      </c>
      <c r="C17" s="4" t="str">
        <f>IFERROR(INDEX('Khách hàng'!$C$5:$C$200,MATCH(B17,'Khách hàng'!$B$5:$B$200,0)),"")</f>
        <v>Trung tâm Anh ngữ Global Link</v>
      </c>
      <c r="D17" s="11" t="s">
        <v>224</v>
      </c>
      <c r="E17" s="10" t="s">
        <v>195</v>
      </c>
      <c r="F17" s="12">
        <v>38000000</v>
      </c>
      <c r="G17" s="13">
        <f>IFERROR(INDEX('Tham số'!$C$5:$C$10,MATCH(E17,'Tham số'!$B$5:$B$10,0)),0)</f>
        <v>1</v>
      </c>
      <c r="H17" s="14">
        <f t="shared" si="0"/>
        <v>38000000</v>
      </c>
      <c r="I17" s="15">
        <v>46261</v>
      </c>
      <c r="J17" s="9" t="str">
        <f t="shared" si="1"/>
        <v>Q3/2026</v>
      </c>
      <c r="K17" s="9" t="str">
        <f>IF(AND(I17&gt;='Tham số'!$B$14,I17&lt;='Tham số'!$B$15),"Có","Không")</f>
        <v>Không</v>
      </c>
      <c r="L17" s="4" t="str">
        <f>IFERROR(INDEX('Khách hàng'!$H$5:$H$200,MATCH(B17,'Khách hàng'!$B$5:$B$200,0)),"")</f>
        <v>Nguyễn Văn An</v>
      </c>
      <c r="M17" s="9" t="str">
        <f>IFERROR(INDEX('Tham số'!$D$5:$D$10,MATCH(E17,'Tham số'!$B$5:$B$10,0)),"")</f>
        <v>Đã đóng</v>
      </c>
    </row>
    <row r="18" spans="1:13">
      <c r="A18" s="9" t="s">
        <v>225</v>
      </c>
      <c r="B18" s="10" t="s">
        <v>150</v>
      </c>
      <c r="C18" s="4" t="str">
        <f>IFERROR(INDEX('Khách hàng'!$C$5:$C$200,MATCH(B18,'Khách hàng'!$B$5:$B$200,0)),"")</f>
        <v>Trung tâm Anh ngữ Global Link</v>
      </c>
      <c r="D18" s="11" t="s">
        <v>226</v>
      </c>
      <c r="E18" s="10" t="s">
        <v>198</v>
      </c>
      <c r="F18" s="12">
        <v>38000000</v>
      </c>
      <c r="G18" s="13">
        <f>IFERROR(INDEX('Tham số'!$C$5:$C$10,MATCH(E18,'Tham số'!$B$5:$B$10,0)),0)</f>
        <v>0.6</v>
      </c>
      <c r="H18" s="14">
        <f t="shared" si="0"/>
        <v>22800000</v>
      </c>
      <c r="I18" s="15">
        <v>46326</v>
      </c>
      <c r="J18" s="9" t="str">
        <f t="shared" si="1"/>
        <v>Q4/2026</v>
      </c>
      <c r="K18" s="9" t="str">
        <f>IF(AND(I18&gt;='Tham số'!$B$14,I18&lt;='Tham số'!$B$15),"Có","Không")</f>
        <v>Có</v>
      </c>
      <c r="L18" s="4" t="str">
        <f>IFERROR(INDEX('Khách hàng'!$H$5:$H$200,MATCH(B18,'Khách hàng'!$B$5:$B$200,0)),"")</f>
        <v>Nguyễn Văn An</v>
      </c>
      <c r="M18" s="9" t="str">
        <f>IFERROR(INDEX('Tham số'!$D$5:$D$10,MATCH(E18,'Tham số'!$B$5:$B$10,0)),"")</f>
        <v>Đang mở</v>
      </c>
    </row>
    <row r="19" spans="1:13">
      <c r="A19" s="9" t="s">
        <v>227</v>
      </c>
      <c r="B19" s="10" t="s">
        <v>156</v>
      </c>
      <c r="C19" s="4" t="str">
        <f>IFERROR(INDEX('Khách hàng'!$C$5:$C$200,MATCH(B19,'Khách hàng'!$B$5:$B$200,0)),"")</f>
        <v>Công ty TNHH Cơ khí Chính Xác</v>
      </c>
      <c r="D19" s="11" t="s">
        <v>228</v>
      </c>
      <c r="E19" s="10" t="s">
        <v>214</v>
      </c>
      <c r="F19" s="12">
        <v>95000000</v>
      </c>
      <c r="G19" s="13">
        <f>IFERROR(INDEX('Tham số'!$C$5:$C$10,MATCH(E19,'Tham số'!$B$5:$B$10,0)),0)</f>
        <v>0</v>
      </c>
      <c r="H19" s="14">
        <f t="shared" si="0"/>
        <v>0</v>
      </c>
      <c r="I19" s="15">
        <v>46301</v>
      </c>
      <c r="J19" s="9" t="str">
        <f t="shared" si="1"/>
        <v>Q4/2026</v>
      </c>
      <c r="K19" s="9" t="str">
        <f>IF(AND(I19&gt;='Tham số'!$B$14,I19&lt;='Tham số'!$B$15),"Có","Không")</f>
        <v>Có</v>
      </c>
      <c r="L19" s="4" t="str">
        <f>IFERROR(INDEX('Khách hàng'!$H$5:$H$200,MATCH(B19,'Khách hàng'!$B$5:$B$200,0)),"")</f>
        <v>Hoàng Văn Đức</v>
      </c>
      <c r="M19" s="9" t="str">
        <f>IFERROR(INDEX('Tham số'!$D$5:$D$10,MATCH(E19,'Tham số'!$B$5:$B$10,0)),"")</f>
        <v>Đã đóng</v>
      </c>
    </row>
    <row r="20" spans="1:13">
      <c r="A20" s="9" t="s">
        <v>229</v>
      </c>
      <c r="B20" s="10" t="s">
        <v>156</v>
      </c>
      <c r="C20" s="4" t="str">
        <f>IFERROR(INDEX('Khách hàng'!$C$5:$C$200,MATCH(B20,'Khách hàng'!$B$5:$B$200,0)),"")</f>
        <v>Công ty TNHH Cơ khí Chính Xác</v>
      </c>
      <c r="D20" s="11" t="s">
        <v>230</v>
      </c>
      <c r="E20" s="10" t="s">
        <v>207</v>
      </c>
      <c r="F20" s="12">
        <v>0</v>
      </c>
      <c r="G20" s="13">
        <f>IFERROR(INDEX('Tham số'!$C$5:$C$10,MATCH(E20,'Tham số'!$B$5:$B$10,0)),0)</f>
        <v>0.1</v>
      </c>
      <c r="H20" s="14">
        <f t="shared" si="0"/>
        <v>0</v>
      </c>
      <c r="I20" s="15">
        <v>46361</v>
      </c>
      <c r="J20" s="9" t="str">
        <f t="shared" si="1"/>
        <v>Q4/2026</v>
      </c>
      <c r="K20" s="9" t="str">
        <f>IF(AND(I20&gt;='Tham số'!$B$14,I20&lt;='Tham số'!$B$15),"Có","Không")</f>
        <v>Có</v>
      </c>
      <c r="L20" s="4" t="str">
        <f>IFERROR(INDEX('Khách hàng'!$H$5:$H$200,MATCH(B20,'Khách hàng'!$B$5:$B$200,0)),"")</f>
        <v>Hoàng Văn Đức</v>
      </c>
      <c r="M20" s="9" t="str">
        <f>IFERROR(INDEX('Tham số'!$D$5:$D$10,MATCH(E20,'Tham số'!$B$5:$B$10,0)),"")</f>
        <v>Đang mở</v>
      </c>
    </row>
    <row r="21" spans="1:13">
      <c r="A21" s="9" t="s">
        <v>231</v>
      </c>
      <c r="B21" s="10" t="s">
        <v>161</v>
      </c>
      <c r="C21" s="4" t="str">
        <f>IFERROR(INDEX('Khách hàng'!$C$5:$C$200,MATCH(B21,'Khách hàng'!$B$5:$B$200,0)),"")</f>
        <v>Siêu thị Mini Xanh</v>
      </c>
      <c r="D21" s="11" t="s">
        <v>232</v>
      </c>
      <c r="E21" s="10" t="s">
        <v>201</v>
      </c>
      <c r="F21" s="12">
        <v>60000000</v>
      </c>
      <c r="G21" s="13">
        <f>IFERROR(INDEX('Tham số'!$C$5:$C$10,MATCH(E21,'Tham số'!$B$5:$B$10,0)),0)</f>
        <v>0.4</v>
      </c>
      <c r="H21" s="14">
        <f t="shared" si="0"/>
        <v>24000000</v>
      </c>
      <c r="I21" s="15">
        <v>46349</v>
      </c>
      <c r="J21" s="9" t="str">
        <f t="shared" si="1"/>
        <v>Q4/2026</v>
      </c>
      <c r="K21" s="9" t="str">
        <f>IF(AND(I21&gt;='Tham số'!$B$14,I21&lt;='Tham số'!$B$15),"Có","Không")</f>
        <v>Có</v>
      </c>
      <c r="L21" s="4" t="str">
        <f>IFERROR(INDEX('Khách hàng'!$H$5:$H$200,MATCH(B21,'Khách hàng'!$B$5:$B$200,0)),"")</f>
        <v>Nguyễn Văn An</v>
      </c>
      <c r="M21" s="9" t="str">
        <f>IFERROR(INDEX('Tham số'!$D$5:$D$10,MATCH(E21,'Tham số'!$B$5:$B$10,0)),"")</f>
        <v>Đang mở</v>
      </c>
    </row>
    <row r="22" spans="1:13">
      <c r="A22" s="9" t="s">
        <v>233</v>
      </c>
      <c r="B22" s="10" t="s">
        <v>161</v>
      </c>
      <c r="C22" s="4" t="str">
        <f>IFERROR(INDEX('Khách hàng'!$C$5:$C$200,MATCH(B22,'Khách hàng'!$B$5:$B$200,0)),"")</f>
        <v>Siêu thị Mini Xanh</v>
      </c>
      <c r="D22" s="11" t="s">
        <v>234</v>
      </c>
      <c r="E22" s="10" t="s">
        <v>204</v>
      </c>
      <c r="F22" s="12">
        <v>22000000</v>
      </c>
      <c r="G22" s="13">
        <f>IFERROR(INDEX('Tham số'!$C$5:$C$10,MATCH(E22,'Tham số'!$B$5:$B$10,0)),0)</f>
        <v>0.2</v>
      </c>
      <c r="H22" s="14">
        <f t="shared" si="0"/>
        <v>4400000</v>
      </c>
      <c r="I22" s="15">
        <v>46339</v>
      </c>
      <c r="J22" s="9" t="str">
        <f t="shared" si="1"/>
        <v>Q4/2026</v>
      </c>
      <c r="K22" s="9" t="str">
        <f>IF(AND(I22&gt;='Tham số'!$B$14,I22&lt;='Tham số'!$B$15),"Có","Không")</f>
        <v>Có</v>
      </c>
      <c r="L22" s="4" t="str">
        <f>IFERROR(INDEX('Khách hàng'!$H$5:$H$200,MATCH(B22,'Khách hàng'!$B$5:$B$200,0)),"")</f>
        <v>Nguyễn Văn An</v>
      </c>
      <c r="M22" s="9" t="str">
        <f>IFERROR(INDEX('Tham số'!$D$5:$D$10,MATCH(E22,'Tham số'!$B$5:$B$10,0)),"")</f>
        <v>Đang mở</v>
      </c>
    </row>
    <row r="23" spans="1:13">
      <c r="A23" s="9" t="s">
        <v>235</v>
      </c>
      <c r="B23" s="10" t="s">
        <v>167</v>
      </c>
      <c r="C23" s="4" t="str">
        <f>IFERROR(INDEX('Khách hàng'!$C$5:$C$200,MATCH(B23,'Khách hàng'!$B$5:$B$200,0)),"")</f>
        <v>Công ty CP Công nghệ Việt Số</v>
      </c>
      <c r="D23" s="11" t="s">
        <v>236</v>
      </c>
      <c r="E23" s="10" t="s">
        <v>195</v>
      </c>
      <c r="F23" s="12">
        <v>150000000</v>
      </c>
      <c r="G23" s="13">
        <f>IFERROR(INDEX('Tham số'!$C$5:$C$10,MATCH(E23,'Tham số'!$B$5:$B$10,0)),0)</f>
        <v>1</v>
      </c>
      <c r="H23" s="14">
        <f t="shared" si="0"/>
        <v>150000000</v>
      </c>
      <c r="I23" s="15">
        <v>46296</v>
      </c>
      <c r="J23" s="9" t="str">
        <f t="shared" si="1"/>
        <v>Q4/2026</v>
      </c>
      <c r="K23" s="9" t="str">
        <f>IF(AND(I23&gt;='Tham số'!$B$14,I23&lt;='Tham số'!$B$15),"Có","Không")</f>
        <v>Có</v>
      </c>
      <c r="L23" s="4" t="str">
        <f>IFERROR(INDEX('Khách hàng'!$H$5:$H$200,MATCH(B23,'Khách hàng'!$B$5:$B$200,0)),"")</f>
        <v>Hoàng Văn Đức</v>
      </c>
      <c r="M23" s="9" t="str">
        <f>IFERROR(INDEX('Tham số'!$D$5:$D$10,MATCH(E23,'Tham số'!$B$5:$B$10,0)),"")</f>
        <v>Đã đóng</v>
      </c>
    </row>
    <row r="24" spans="1:13">
      <c r="A24" s="9" t="s">
        <v>237</v>
      </c>
      <c r="B24" s="10" t="s">
        <v>167</v>
      </c>
      <c r="C24" s="4" t="str">
        <f>IFERROR(INDEX('Khách hàng'!$C$5:$C$200,MATCH(B24,'Khách hàng'!$B$5:$B$200,0)),"")</f>
        <v>Công ty CP Công nghệ Việt Số</v>
      </c>
      <c r="D24" s="11" t="s">
        <v>238</v>
      </c>
      <c r="E24" s="10" t="s">
        <v>198</v>
      </c>
      <c r="F24" s="12">
        <v>90000000</v>
      </c>
      <c r="G24" s="13">
        <f>IFERROR(INDEX('Tham số'!$C$5:$C$10,MATCH(E24,'Tham số'!$B$5:$B$10,0)),0)</f>
        <v>0.6</v>
      </c>
      <c r="H24" s="14">
        <f t="shared" si="0"/>
        <v>54000000</v>
      </c>
      <c r="I24" s="15">
        <v>46333</v>
      </c>
      <c r="J24" s="9" t="str">
        <f t="shared" si="1"/>
        <v>Q4/2026</v>
      </c>
      <c r="K24" s="9" t="str">
        <f>IF(AND(I24&gt;='Tham số'!$B$14,I24&lt;='Tham số'!$B$15),"Có","Không")</f>
        <v>Có</v>
      </c>
      <c r="L24" s="4" t="str">
        <f>IFERROR(INDEX('Khách hàng'!$H$5:$H$200,MATCH(B24,'Khách hàng'!$B$5:$B$200,0)),"")</f>
        <v>Hoàng Văn Đức</v>
      </c>
      <c r="M24" s="9" t="str">
        <f>IFERROR(INDEX('Tham số'!$D$5:$D$10,MATCH(E24,'Tham số'!$B$5:$B$10,0)),"")</f>
        <v>Đang mở</v>
      </c>
    </row>
    <row r="25" spans="1:13">
      <c r="A25" s="9" t="s">
        <v>239</v>
      </c>
      <c r="B25" s="10" t="s">
        <v>173</v>
      </c>
      <c r="C25" s="4" t="str">
        <f>IFERROR(INDEX('Khách hàng'!$C$5:$C$200,MATCH(B25,'Khách hàng'!$B$5:$B$200,0)),"")</f>
        <v>Nhà thuốc An Khang</v>
      </c>
      <c r="D25" s="11" t="s">
        <v>240</v>
      </c>
      <c r="E25" s="10" t="s">
        <v>204</v>
      </c>
      <c r="F25" s="12">
        <v>48000000</v>
      </c>
      <c r="G25" s="13">
        <f>IFERROR(INDEX('Tham số'!$C$5:$C$10,MATCH(E25,'Tham số'!$B$5:$B$10,0)),0)</f>
        <v>0.2</v>
      </c>
      <c r="H25" s="14">
        <f t="shared" si="0"/>
        <v>9600000</v>
      </c>
      <c r="I25" s="15">
        <v>46354</v>
      </c>
      <c r="J25" s="9" t="str">
        <f t="shared" si="1"/>
        <v>Q4/2026</v>
      </c>
      <c r="K25" s="9" t="str">
        <f>IF(AND(I25&gt;='Tham số'!$B$14,I25&lt;='Tham số'!$B$15),"Có","Không")</f>
        <v>Có</v>
      </c>
      <c r="L25" s="4" t="str">
        <f>IFERROR(INDEX('Khách hàng'!$H$5:$H$200,MATCH(B25,'Khách hàng'!$B$5:$B$200,0)),"")</f>
        <v>Nguyễn Văn An</v>
      </c>
      <c r="M25" s="9" t="str">
        <f>IFERROR(INDEX('Tham số'!$D$5:$D$10,MATCH(E25,'Tham số'!$B$5:$B$10,0)),"")</f>
        <v>Đang mở</v>
      </c>
    </row>
    <row r="26" spans="1:13">
      <c r="A26" s="9" t="s">
        <v>241</v>
      </c>
      <c r="B26" s="10" t="s">
        <v>173</v>
      </c>
      <c r="C26" s="4" t="str">
        <f>IFERROR(INDEX('Khách hàng'!$C$5:$C$200,MATCH(B26,'Khách hàng'!$B$5:$B$200,0)),"")</f>
        <v>Nhà thuốc An Khang</v>
      </c>
      <c r="D26" s="11" t="s">
        <v>242</v>
      </c>
      <c r="E26" s="10" t="s">
        <v>207</v>
      </c>
      <c r="F26" s="12">
        <v>0</v>
      </c>
      <c r="G26" s="13">
        <f>IFERROR(INDEX('Tham số'!$C$5:$C$10,MATCH(E26,'Tham số'!$B$5:$B$10,0)),0)</f>
        <v>0.1</v>
      </c>
      <c r="H26" s="14">
        <f t="shared" si="0"/>
        <v>0</v>
      </c>
      <c r="I26" s="15">
        <v>46371</v>
      </c>
      <c r="J26" s="9" t="str">
        <f t="shared" si="1"/>
        <v>Q4/2026</v>
      </c>
      <c r="K26" s="9" t="str">
        <f>IF(AND(I26&gt;='Tham số'!$B$14,I26&lt;='Tham số'!$B$15),"Có","Không")</f>
        <v>Có</v>
      </c>
      <c r="L26" s="4" t="str">
        <f>IFERROR(INDEX('Khách hàng'!$H$5:$H$200,MATCH(B26,'Khách hàng'!$B$5:$B$200,0)),"")</f>
        <v>Nguyễn Văn An</v>
      </c>
      <c r="M26" s="9" t="str">
        <f>IFERROR(INDEX('Tham số'!$D$5:$D$10,MATCH(E26,'Tham số'!$B$5:$B$10,0)),"")</f>
        <v>Đang mở</v>
      </c>
    </row>
    <row r="27" spans="1:13">
      <c r="A27" s="9" t="s">
        <v>243</v>
      </c>
      <c r="B27" s="10" t="s">
        <v>178</v>
      </c>
      <c r="C27" s="4" t="str">
        <f>IFERROR(INDEX('Khách hàng'!$C$5:$C$200,MATCH(B27,'Khách hàng'!$B$5:$B$200,0)),"")</f>
        <v>Công ty TNHH In ấn Sao Việt</v>
      </c>
      <c r="D27" s="11" t="s">
        <v>244</v>
      </c>
      <c r="E27" s="10" t="s">
        <v>214</v>
      </c>
      <c r="F27" s="12">
        <v>15000000</v>
      </c>
      <c r="G27" s="13">
        <f>IFERROR(INDEX('Tham số'!$C$5:$C$10,MATCH(E27,'Tham số'!$B$5:$B$10,0)),0)</f>
        <v>0</v>
      </c>
      <c r="H27" s="14">
        <f t="shared" si="0"/>
        <v>0</v>
      </c>
      <c r="I27" s="15">
        <v>46313</v>
      </c>
      <c r="J27" s="9" t="str">
        <f t="shared" si="1"/>
        <v>Q4/2026</v>
      </c>
      <c r="K27" s="9" t="str">
        <f>IF(AND(I27&gt;='Tham số'!$B$14,I27&lt;='Tham số'!$B$15),"Có","Không")</f>
        <v>Có</v>
      </c>
      <c r="L27" s="4" t="str">
        <f>IFERROR(INDEX('Khách hàng'!$H$5:$H$200,MATCH(B27,'Khách hàng'!$B$5:$B$200,0)),"")</f>
        <v>Hoàng Văn Đức</v>
      </c>
      <c r="M27" s="9" t="str">
        <f>IFERROR(INDEX('Tham số'!$D$5:$D$10,MATCH(E27,'Tham số'!$B$5:$B$10,0)),"")</f>
        <v>Đã đóng</v>
      </c>
    </row>
    <row r="28" spans="1:13">
      <c r="A28" s="9" t="s">
        <v>245</v>
      </c>
      <c r="B28" s="10" t="s">
        <v>178</v>
      </c>
      <c r="C28" s="4" t="str">
        <f>IFERROR(INDEX('Khách hàng'!$C$5:$C$200,MATCH(B28,'Khách hàng'!$B$5:$B$200,0)),"")</f>
        <v>Công ty TNHH In ấn Sao Việt</v>
      </c>
      <c r="D28" s="11" t="s">
        <v>246</v>
      </c>
      <c r="E28" s="10" t="s">
        <v>207</v>
      </c>
      <c r="F28" s="12">
        <v>26000000</v>
      </c>
      <c r="G28" s="13">
        <f>IFERROR(INDEX('Tham số'!$C$5:$C$10,MATCH(E28,'Tham số'!$B$5:$B$10,0)),0)</f>
        <v>0.1</v>
      </c>
      <c r="H28" s="14">
        <f t="shared" si="0"/>
        <v>2600000</v>
      </c>
      <c r="I28" s="15">
        <v>46386</v>
      </c>
      <c r="J28" s="9" t="str">
        <f t="shared" si="1"/>
        <v>Q4/2026</v>
      </c>
      <c r="K28" s="9" t="str">
        <f>IF(AND(I28&gt;='Tham số'!$B$14,I28&lt;='Tham số'!$B$15),"Có","Không")</f>
        <v>Có</v>
      </c>
      <c r="L28" s="4" t="str">
        <f>IFERROR(INDEX('Khách hàng'!$H$5:$H$200,MATCH(B28,'Khách hàng'!$B$5:$B$200,0)),"")</f>
        <v>Hoàng Văn Đức</v>
      </c>
      <c r="M28" s="9" t="str">
        <f>IFERROR(INDEX('Tham số'!$D$5:$D$10,MATCH(E28,'Tham số'!$B$5:$B$10,0)),"")</f>
        <v>Đang mở</v>
      </c>
    </row>
  </sheetData>
  <autoFilter xmlns:etc="http://www.wps.cn/officeDocument/2017/etCustomData" ref="A4:M28" etc:filterBottomFollowUsedRange="0">
    <extLst/>
  </autoFilter>
  <dataValidations count="1">
    <dataValidation type="list" allowBlank="1" showInputMessage="1" showErrorMessage="1" errorTitle="Dữ liệu không hợp lệ" error="Giá trị không nằm trong danh sách cho phép." promptTitle="Chọn giá trị" prompt="Chọn giai đoạn pipeline" sqref="E5:E200">
      <formula1>DS_GiaiDoan</formula1>
    </dataValidation>
  </dataValidation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7"/>
  <sheetViews>
    <sheetView workbookViewId="0">
      <pane ySplit="4" topLeftCell="A5" activePane="bottomLeft" state="frozen"/>
      <selection/>
      <selection pane="bottomLeft" activeCell="A1" sqref="A1"/>
    </sheetView>
  </sheetViews>
  <sheetFormatPr defaultColWidth="9" defaultRowHeight="13.2" outlineLevelCol="3"/>
  <cols>
    <col min="1" max="1" width="22" customWidth="1"/>
    <col min="2" max="2" width="18" customWidth="1"/>
    <col min="3" max="3" width="22" customWidth="1"/>
    <col min="4" max="4" width="14" customWidth="1"/>
  </cols>
  <sheetData>
    <row r="1" ht="22" customHeight="1" spans="1:4">
      <c r="A1" s="1" t="s">
        <v>247</v>
      </c>
    </row>
    <row r="2" spans="1:4">
      <c r="A2" s="2" t="s">
        <v>248</v>
      </c>
    </row>
    <row r="4" ht="32" customHeight="1" spans="1:4">
      <c r="A4" s="3" t="s">
        <v>249</v>
      </c>
      <c r="B4" s="3" t="s">
        <v>52</v>
      </c>
      <c r="C4" s="3" t="s">
        <v>250</v>
      </c>
      <c r="D4" s="3" t="s">
        <v>57</v>
      </c>
    </row>
    <row r="5" spans="1:4">
      <c r="A5" s="4" t="s">
        <v>251</v>
      </c>
      <c r="B5" s="5" t="s">
        <v>207</v>
      </c>
      <c r="C5" s="6">
        <v>0.1</v>
      </c>
      <c r="D5" s="4" t="s">
        <v>252</v>
      </c>
    </row>
    <row r="6" spans="1:4">
      <c r="A6" s="4" t="s">
        <v>253</v>
      </c>
      <c r="B6" s="5" t="s">
        <v>204</v>
      </c>
      <c r="C6" s="6">
        <v>0.2</v>
      </c>
      <c r="D6" s="4" t="s">
        <v>252</v>
      </c>
    </row>
    <row r="7" spans="1:4">
      <c r="A7" s="4" t="s">
        <v>254</v>
      </c>
      <c r="B7" s="5" t="s">
        <v>201</v>
      </c>
      <c r="C7" s="6">
        <v>0.4</v>
      </c>
      <c r="D7" s="4" t="s">
        <v>252</v>
      </c>
    </row>
    <row r="8" spans="1:4">
      <c r="A8" s="4" t="s">
        <v>255</v>
      </c>
      <c r="B8" s="5" t="s">
        <v>198</v>
      </c>
      <c r="C8" s="6">
        <v>0.6</v>
      </c>
      <c r="D8" s="4" t="s">
        <v>252</v>
      </c>
    </row>
    <row r="9" spans="1:4">
      <c r="A9" s="4" t="s">
        <v>256</v>
      </c>
      <c r="B9" s="5" t="s">
        <v>195</v>
      </c>
      <c r="C9" s="6">
        <v>1</v>
      </c>
      <c r="D9" s="4" t="s">
        <v>257</v>
      </c>
    </row>
    <row r="10" spans="1:4">
      <c r="A10" s="4" t="s">
        <v>258</v>
      </c>
      <c r="B10" s="5" t="s">
        <v>214</v>
      </c>
      <c r="C10" s="6">
        <v>0</v>
      </c>
      <c r="D10" s="4" t="s">
        <v>257</v>
      </c>
    </row>
    <row r="13" spans="1:4">
      <c r="A13" s="7" t="s">
        <v>78</v>
      </c>
      <c r="B13" s="7" t="s">
        <v>76</v>
      </c>
    </row>
    <row r="14" spans="1:4">
      <c r="A14" s="5" t="s">
        <v>259</v>
      </c>
      <c r="B14" s="8">
        <v>46296</v>
      </c>
    </row>
    <row r="15" spans="1:4">
      <c r="A15" s="5" t="s">
        <v>260</v>
      </c>
      <c r="B15" s="8">
        <v>46387</v>
      </c>
    </row>
    <row r="16" spans="1:4">
      <c r="A16" s="5" t="s">
        <v>261</v>
      </c>
      <c r="B16" s="4" t="str">
        <f>"Q"&amp;ROUNDUP(MONTH(B14)/3,0)&amp;"/"&amp;YEAR(B14)</f>
        <v>Q4/2026</v>
      </c>
    </row>
    <row r="17" spans="1:2">
      <c r="A17" s="5" t="s">
        <v>262</v>
      </c>
      <c r="B17" s="8">
        <v>46321</v>
      </c>
    </row>
  </sheetData>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Thông tin</vt:lpstr>
      <vt:lpstr>Tổng hợp</vt:lpstr>
      <vt:lpstr>Khách hàng</vt:lpstr>
      <vt:lpstr>Cơ hội</vt:lpstr>
      <vt:lpstr>Tham số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2026-10-26T06:51:00Z</dcterms:created>
  <dcterms:modified xsi:type="dcterms:W3CDTF">2026-10-26T06:52:02Z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7371C876C05F43558AD5B14744B72DA8_12</vt:lpwstr>
  </property>
  <property fmtid="{D5CDD505-2E9C-101B-9397-08002B2CF9AE}" pid="3" name="KSOProductBuildVer">
    <vt:lpwstr>1033-12.1.0.29162</vt:lpwstr>
  </property>
  <property fmtid="{D5CDD505-2E9C-101B-9397-08002B2CF9AE}" pid="4" name="CalculationRule">
    <vt:i4>0</vt:i4>
  </property>
</Properties>
</file>