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bookViews>
  <sheets>
    <sheet name="Thông tin" sheetId="1" r:id="rId1"/>
    <sheet name="Tổng hợp" sheetId="2" r:id="rId2"/>
    <sheet name="Laptop" sheetId="3" r:id="rId3"/>
    <sheet name="PC" sheetId="4" r:id="rId4"/>
    <sheet name="Linh kiện" sheetId="5" r:id="rId5"/>
    <sheet name="Màn hình" sheetId="6" r:id="rId6"/>
    <sheet name="Phụ kiện" sheetId="7" r:id="rId7"/>
    <sheet name="Chi tiết thông số" sheetId="8" r:id="rId8"/>
  </sheets>
  <definedNames>
    <definedName name="_xlnm._FilterDatabase" localSheetId="2" hidden="1">Laptop!$A$4:$V$7</definedName>
    <definedName name="_xlnm._FilterDatabase" localSheetId="3" hidden="1">PC!$A$4:$K$6</definedName>
    <definedName name="_xlnm._FilterDatabase" localSheetId="4" hidden="1">'Linh kiện'!$A$4:$L$13</definedName>
    <definedName name="_xlnm._FilterDatabase" localSheetId="5" hidden="1">'Màn hình'!$A$4:$W$6</definedName>
    <definedName name="_xlnm._FilterDatabase" localSheetId="6" hidden="1">'Phụ kiện'!$A$4:$K$7</definedName>
    <definedName name="_xlnm._FilterDatabase" localSheetId="7" hidden="1">'Chi tiết thông số'!$A$4:$J$175</definedName>
    <definedName name="_xlnm.Print_Titles" localSheetId="2">Laptop!$4:$4,Laptop!$A:$C</definedName>
    <definedName name="_xlnm.Print_Titles" localSheetId="3">PC!$4:$4,PC!$A:$C</definedName>
    <definedName name="_xlnm.Print_Titles" localSheetId="4">'Linh kiện'!$4:$4,'Linh kiện'!$A:$C</definedName>
    <definedName name="_xlnm.Print_Titles" localSheetId="5">'Màn hình'!$4:$4,'Màn hình'!$A:$C</definedName>
    <definedName name="_xlnm.Print_Titles" localSheetId="6">'Phụ kiện'!$4:$4,'Phụ kiện'!$A:$C</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<sst xmlns="http://schemas.openxmlformats.org/spreadsheetml/2006/main" count="1941" uniqueCount="609">
  <si>
    <t>Bảng thông số kỹ thuật sản phẩm trong kho</t>
  </si>
  <si>
    <t>Dự án</t>
  </si>
  <si>
    <t>Website bán hàng SME</t>
  </si>
  <si>
    <t>Nền tảng</t>
  </si>
  <si>
    <t>ECAP — nền tảng cộng tác và phân tích dữ liệu cho doanh nghiệp vừa và nhỏ</t>
  </si>
  <si>
    <t>Đơn vị</t>
  </si>
  <si>
    <t>Công ty Demo SME (kinh doanh máy tính, linh kiện và phụ kiện)</t>
  </si>
  <si>
    <t>Người đọc</t>
  </si>
  <si>
    <t>Nhóm nội dung website, bộ phận kinh doanh</t>
  </si>
  <si>
    <t>Phiên bản</t>
  </si>
  <si>
    <t>1.0</t>
  </si>
  <si>
    <t>Ngày phát hành</t>
  </si>
  <si>
    <t>Phân loại</t>
  </si>
  <si>
    <t>Tài liệu nội bộ — Công ty Demo SME — dùng cho mục đích minh hoạ đồ án</t>
  </si>
  <si>
    <t>Số liệu</t>
  </si>
  <si>
    <t>Đơn giá là số liệu minh hoạ (giá tham khảo). Thông số kỹ thuật là dữ liệu đã kiểm chứng, có ghi nguồn.</t>
  </si>
  <si>
    <t>Chú giải</t>
  </si>
  <si>
    <t>Giá trị mẫu</t>
  </si>
  <si>
    <t>Ô nhập liệu (nền vàng, chữ xanh): người dùng được sửa hoặc nhập mới; mọi công thức tự tính lại.</t>
  </si>
  <si>
    <t>Công thức</t>
  </si>
  <si>
    <t>Ô công thức (nền trắng, chữ đen): tính tự động, không nhập đè.</t>
  </si>
  <si>
    <t>Tiêu đề</t>
  </si>
  <si>
    <t>Dòng tiêu đề bảng: đã cố định (freeze) và bật bộ lọc.</t>
  </si>
  <si>
    <t>Cấu trúc workbook</t>
  </si>
  <si>
    <t>Tổng hợp</t>
  </si>
  <si>
    <t>Đếm SKU theo danh mục, mức xác minh và khoảng giá bằng công thức COUNTA/COUNTIF/MIN/MAX/AVERAGE.</t>
  </si>
  <si>
    <t>Laptop</t>
  </si>
  <si>
    <t>3 SKU laptop, mỗi thông số một cột.</t>
  </si>
  <si>
    <t>PC</t>
  </si>
  <si>
    <t>2 SKU PC để bàn, thông số chính gộp trong một ô.</t>
  </si>
  <si>
    <t>Linh kiện</t>
  </si>
  <si>
    <t>9 SKU linh kiện PC (2 CPU, RAM, SSD, card đồ hoạ, bo mạch chủ, nguồn, vỏ case, tản nhiệt).</t>
  </si>
  <si>
    <t>Màn hình</t>
  </si>
  <si>
    <t>2 SKU màn hình, mỗi thông số một cột.</t>
  </si>
  <si>
    <t>Phụ kiện</t>
  </si>
  <si>
    <t>3 SKU phụ kiện (bàn phím, chuột, tai nghe).</t>
  </si>
  <si>
    <t>Chi tiết thông số</t>
  </si>
  <si>
    <t>Mỗi dòng một thông số của một SKU, kèm đơn vị, nguồn chính và nguồn đối chiếu.</t>
  </si>
  <si>
    <t>Giả định và nguồn dữ liệu</t>
  </si>
  <si>
    <t>1.</t>
  </si>
  <si>
    <t>Danh sách sản phẩm, SKU, danh mục và đơn giá lấy từ dữ liệu mẫu kho của ECAP (scripts/seed-inventory.js, 19 SKU).</t>
  </si>
  <si>
    <t>2.</t>
  </si>
  <si>
    <t>Đơn giá là giá thị trường Việt Nam tham khảo (VND), không phải giá niêm yết chính thức — số liệu minh hoạ. Ô đơn giá là ô nhập liệu.</t>
  </si>
  <si>
    <t>3.</t>
  </si>
  <si>
    <t>Thông số kỹ thuật lấy từ bộ dữ liệu đã kiểm chứng ngày 26/10/2026; mỗi SKU có cột Nguồn (URL) và sheet Chi tiết thông số ghi nguồn cho từng giá trị.</t>
  </si>
  <si>
    <t>4.</t>
  </si>
  <si>
    <t>Mức xác minh: "Đã xác minh" = model rõ ràng, thông số khớp nguồn; "Đã đối chiếu — model suy luận" = model suy ra từ ảnh/mô tả, thông số đã đối chiếu; "Cấu hình tham khảo" = chưa xác nhận đúng model (màn hình cong BenQ, vỏ case ATX).</t>
  </si>
  <si>
    <t>5.</t>
  </si>
  <si>
    <t>Đính chính RAM: Kingston HyperX KHX6400S2ULK2/4G là kit 2x2 GB (tổng 4 GB), không phải 2x4 GB như tên trong kho — xem ghi chú ở sheet Linh kiện.</t>
  </si>
  <si>
    <t>6.</t>
  </si>
  <si>
    <t>Đơn vị đi kèm giá trị: nếu giá trị đã chứa đơn vị thì giữ nguyên, nếu không thì ghi thêm "(đơn vị: ...)".</t>
  </si>
  <si>
    <t>Tổng hợp SKU theo danh mục</t>
  </si>
  <si>
    <t>Mọi ô số trong bảng là công thức tham chiếu các sheet danh mục.</t>
  </si>
  <si>
    <t>Danh mục</t>
  </si>
  <si>
    <t>Sheet</t>
  </si>
  <si>
    <t>Số SKU</t>
  </si>
  <si>
    <t>Đã xác minh</t>
  </si>
  <si>
    <t>Model suy luận (đã đối chiếu)</t>
  </si>
  <si>
    <t>Cấu hình tham khảo</t>
  </si>
  <si>
    <t>Đơn giá thấp nhất (VND)</t>
  </si>
  <si>
    <t>Đơn giá cao nhất (VND)</t>
  </si>
  <si>
    <t>Đơn giá trung bình (VND)</t>
  </si>
  <si>
    <t>Số dòng thông số</t>
  </si>
  <si>
    <t>PC để bàn</t>
  </si>
  <si>
    <t>Linh kiện PC</t>
  </si>
  <si>
    <t>Tổng cộng</t>
  </si>
  <si>
    <t/>
  </si>
  <si>
    <t>Số SKU trong danh sách kho</t>
  </si>
  <si>
    <t>seed-inventory.js</t>
  </si>
  <si>
    <t>Kiểm tra đối chiếu</t>
  </si>
  <si>
    <t>Tổng SKU so với danh sách kho</t>
  </si>
  <si>
    <t>Tỷ lệ SKU đã xác minh đầy đủ</t>
  </si>
  <si>
    <t>Đã xác minh / Tổng SKU</t>
  </si>
  <si>
    <t>Ghi chú: ô vàng C12 là số SKU kỳ vọng theo dữ liệu mẫu kho (19 SKU) — số nhập tay để đối chiếu.</t>
  </si>
  <si>
    <t>Thông số kỹ thuật — Laptop</t>
  </si>
  <si>
    <t>Đơn giá tham khảo là số liệu minh hoạ; thông số đã kiểm chứng ngày 26/10/2026, nguồn ở cột cuối.</t>
  </si>
  <si>
    <t>STT</t>
  </si>
  <si>
    <t>SKU</t>
  </si>
  <si>
    <t>Tên sản phẩm (trong kho)</t>
  </si>
  <si>
    <t>Model xác định</t>
  </si>
  <si>
    <t>Mô tả</t>
  </si>
  <si>
    <t>CPU</t>
  </si>
  <si>
    <t>Chipset</t>
  </si>
  <si>
    <t>RAM</t>
  </si>
  <si>
    <t>Lưu trữ</t>
  </si>
  <si>
    <t>Đồ hoạ (GPU)</t>
  </si>
  <si>
    <t>Trọng lượng</t>
  </si>
  <si>
    <t>Pin</t>
  </si>
  <si>
    <t>Cổng kết nối</t>
  </si>
  <si>
    <t>Ổ quang</t>
  </si>
  <si>
    <t>Hệ điều hành khi ra mắt</t>
  </si>
  <si>
    <t>Năm ra mắt</t>
  </si>
  <si>
    <t>Đơn giá tham khảo (VND)</t>
  </si>
  <si>
    <t>Mức xác minh</t>
  </si>
  <si>
    <t>Ngày kiểm chứng</t>
  </si>
  <si>
    <t>Ghi chú</t>
  </si>
  <si>
    <t>Nguồn</t>
  </si>
  <si>
    <t>LAP-DELL-XPSM1330</t>
  </si>
  <si>
    <t>Laptop Dell XPS M1330</t>
  </si>
  <si>
    <t>Dell XPS M1330 (13.3", 2007-2008)</t>
  </si>
  <si>
    <t>Laptop 13,3 inch dòng XPS của Dell ra mắt năm 2007, dùng Intel Core 2 Duo và card rời GeForce 8400M GS. Máy mỏng nhẹ so với các laptop cùng thời, có ổ DVD dạng khe.</t>
  </si>
  <si>
    <t>Intel Core 2 Duo, tuỳ cấu hình (vd. T7300 2.0 GHz; bản Penryn 2008: T9300 2.5 GHz)</t>
  </si>
  <si>
    <t>Intel PM965 (Crestline) + ICH8M</t>
  </si>
  <si>
    <t>1-2 GB DDR2-667 (tuỳ cấu hình), tối đa 4 GB</t>
  </si>
  <si>
    <t>HDD SATA 5400 rpm, 120-160 GB tuỳ cấu hình</t>
  </si>
  <si>
    <t>13,3 inch, 1280x800 (16:10), có tuỳ chọn đèn nền LED</t>
  </si>
  <si>
    <t>NVIDIA GeForce 8400M GS 128 MB</t>
  </si>
  <si>
    <t>khoảng 1,8 (pin 6 cell); khoảng 2,0 (4,5 lb) với pin 9 cell (đơn vị: kg)</t>
  </si>
  <si>
    <t>Li-ion 6 cell 56 Wh; tuỳ chọn pin 9 cell</t>
  </si>
  <si>
    <t>2x USB 2.0, HDMI, VGA, FireWire, S-Video, LAN, modem, ExpressCard, mic, 2x tai nghe, khoá Kensington</t>
  </si>
  <si>
    <t>DVD±RW dạng khe (slot-loading)</t>
  </si>
  <si>
    <t>Windows Vista Home Premium</t>
  </si>
  <si>
    <t>2007 (ra mắt 26/06/2007)</t>
  </si>
  <si>
    <t>Mô tả trong kho ghi "vỏ nhôm": chưa xác minh được chất liệu vỏ, nên kiểm tra lại
Chưa tìm thấy nguồn: Danh sách đầy đủ CPU tuỳ chọn từ Dell (trang gốc không còn); Hãng không công bố thời lượng pin chính thức; Laptop Mag đo được khoảng 5,5 giờ</t>
  </si>
  <si>
    <t>https://www.notebookcheck.net/Dell-XPS-M1330.5463.0.html
https://www.laptopmag.com/reviews/laptops/dell-xps-m1330-penryn</t>
  </si>
  <si>
    <t>LAP-LENOVO-T460</t>
  </si>
  <si>
    <t>Laptop Lenovo ThinkPad T460</t>
  </si>
  <si>
    <t>Lenovo ThinkPad T460 (2016, Intel Core thế hệ 6)</t>
  </si>
  <si>
    <t>Laptop doanh nhân 14 inch dùng Intel Core thế hệ 6 (Skylake), ra mắt năm 2016. Máy hỗ trợ hệ thống pin kép Power Bridge và đạt chuẩn độ bền MIL-STD-810G.</t>
  </si>
  <si>
    <t>Intel Core i3-6100U / i5-6200U / i5-6300U / i7-6500U / i7-6600U (2 nhân 4 luồng)</t>
  </si>
  <si>
    <t>—</t>
  </si>
  <si>
    <t>Tối đa 32 GB DDR3L-1600, 2 khe SO-DIMM, dual-channel</t>
  </si>
  <si>
    <t>SSD SATA, SSD PCIe NVMe (PCIe 3.0 x2), HDD 2,5" hoặc SSHD (tuỳ cấu hình)</t>
  </si>
  <si>
    <t>14 inch HD 1366x768 TN hoặc FHD 1920x1080 IPS; tuỳ chọn cảm ứng</t>
  </si>
  <si>
    <t>Intel HD Graphics 520; tuỳ chọn NVIDIA GeForce 940MX 2 GB</t>
  </si>
  <si>
    <t>từ 1,73 (3+3 cell, không cảm ứng) (đơn vị: kg)</t>
  </si>
  <si>
    <t>Pin trong 3 cell 23 Wh (tuỳ cấu hình, có bản không có pin trong) + pin ngoài 3 cell 23 Wh hoặc 6 cell 48/72 Wh (Power Bridge)</t>
  </si>
  <si>
    <t>3x USB 3.0, HDMI, Mini DisplayPort, RJ-45, cổng dock, đầu đọc thẻ 4-in-1, jack âm thanh combo; tuỳ chọn smart card</t>
  </si>
  <si>
    <t>Windows 10 Pro 64-bit hoặc Windows 7 Pro (hạ cấp từ Windows 10 Pro)</t>
  </si>
  <si>
    <t>2016 (công bố tại CES tháng 1/2016)</t>
  </si>
  <si>
    <t>Chưa tìm thấy nguồn: Cấu hình cụ thể của máy trong kho (dữ liệu kho không ghi CPU/RAM/ổ cứng)</t>
  </si>
  <si>
    <t>https://psref.lenovo.com/syspool/Sys/PDF/ThinkPad/ThinkPad_T460/ThinkPad_T460_Spec.PDF
https://pcper.com/2016/01/ces-2016-lenovo-announces-thinkpad-t460-series-notebooks/</t>
  </si>
  <si>
    <t>LAP-HP-ENVY14</t>
  </si>
  <si>
    <t>Laptop HP Envy 14</t>
  </si>
  <si>
    <t>HP ENVY Laptop 14-eb0021TX (Core i7-1165G7, GTX 1650 Ti Max-Q)</t>
  </si>
  <si>
    <t>Laptop 14 inch màn hình 16:10 dùng Intel Core i7 thế hệ 11 và card rời GeForce GTX 1650 Ti Max-Q, phù hợp làm đồ hoạ và sáng tạo nội dung. Vỏ kim loại, nặng khoảng 1,5 kg.</t>
  </si>
  <si>
    <t>Intel Core i7-1165G7, 4 nhân 8 luồng, 2,8-4,7 GHz</t>
  </si>
  <si>
    <t>16 GB DDR4-3200</t>
  </si>
  <si>
    <t>SSD PCIe NVMe 1 TB</t>
  </si>
  <si>
    <t>14 inch IPS 1920x1200 (16:10), 60 Hz</t>
  </si>
  <si>
    <t>NVIDIA GeForce GTX 1650 Ti Max-Q 4 GB GDDR6 + Intel Iris Xe</t>
  </si>
  <si>
    <t>1,49 kg</t>
  </si>
  <si>
    <t>63,3 Wh, 4 cell Li-Po</t>
  </si>
  <si>
    <t>2x USB-A 5 Gbps, 1x Thunderbolt (USB-C), HDMI, jack 3,5 mm, khe microSD</t>
  </si>
  <si>
    <t>Windows 10 Home 64-bit</t>
  </si>
  <si>
    <t>2021 (công bố tại CES tháng 1/2021, giá từ 999 USD)</t>
  </si>
  <si>
    <t>Đã đối chiếu — model suy luận</t>
  </si>
  <si>
    <t>Giả định model: Dữ liệu kho chỉ ghi "Envy 14, Core i7 + GeForce GTX, viền mỏng". Ảnh có tem Intel Core i7 thế hệ 11 và NVIDIA GeForce GTX, khớp dòng Envy 14-eb0 (2021). Chọn mã 14-eb0021TX vì đuôi TX là bản bán ở châu Á.
Chưa tìm thấy nguồn: RAM hàn chết hay nâng cấp được, dung lượng tối đa; Datasheet chính thức của HP cho mã 14-eb0021TX</t>
  </si>
  <si>
    <t>https://www.notebookcheck.net/HP-Envy-14-eb0021tx.602559.0.html
https://windowscentral.com/hp-unveils-new-envy-14-intel-11th-gen-chips-and-dedicated-nvidia-gtx-1650-graphics</t>
  </si>
  <si>
    <t>Thông số kỹ thuật — PC để bàn</t>
  </si>
  <si>
    <t>Thông số chính</t>
  </si>
  <si>
    <t>PC-GAMING-FRACTAL-TUF</t>
  </si>
  <si>
    <t>PC Gaming Fractal Design TUF Edition</t>
  </si>
  <si>
    <t>PC gaming lắp ráp: vỏ Fractal Design Focus G (Petrol Blue) với linh kiện ASUS TUF Gaming</t>
  </si>
  <si>
    <t>Máy tính gaming lắp ráp trong vỏ Fractal Design Focus G màu xanh Petrol Blue, có cửa sổ hông bằng mica và quạt LED trắng. Máy dùng CPU AMD Ryzen, mainboard ASUS TUF Gaming và card đồ hoạ GeForce GTX.</t>
  </si>
  <si>
    <t>Kiểu dáng: Vỏ ATX Mid Tower (hỗ trợ ATX / Micro-ATX / Mini-ITX), 7 khe mở rộng
Tuỳ chọn CPU: AMD Ryzen socket AM4 (nhìn thấy tản AMD Wraith Prism; chưa xác định model CPU)
Đồ hoạ (GPU): ASUS Cerberus GeForce GTX (model cụ thể chưa xác định)
Lưu trữ: Vỏ có 2x 5.25", 2x 3,5"/2,5", 1x 2,5" chuyên dụng (ảnh: 1 HDD 3,5" + 1 SSD 2,5")
Cổng mặt trước: 1x USB 2.0, 1x USB-A 5 Gbps, jack tai nghe, jack mic
Quạt: 2x Fractal Silent LL 120 mm LED trắng (phía trước); tối đa 6 vị trí quạt
VGA dài tối đa: 380 mm
Tản CPU cao tối đa: 165 mm
Kích thước vỏ: 464 x 205 x 444 (D x R x C), 4,5 kg (đơn vị: mm)
Nắp hông: Tấm hông thép có cửa sổ lớn bằng mica (acrylic), không phải kính cường lực</t>
  </si>
  <si>
    <t>Giả định model: Fractal Design không có sản phẩm nào tên "TUF Edition". Ảnh là máy lắp ráp: vỏ Focus G màu Petrol Blue (khoang 5.25" có logo fractal, quạt trước LED trắng, gắn tem ASUS TUF Gaming), mainboard ASUS TUF Gaming, tản AMD Wraith Prism (nên CPU là Ryzen AM4), VGA ASUS Cerberus GeForce GTX, RAM G.Skill. Chỉ xác minh được thông số của vỏ.
Chưa tìm thấy nguồn: Model CPU, mainboard, VGA, dung lượng RAM/ổ cứng, nguồn; RAM tối đa (phụ thuộc mainboard); Cổng I/O phía sau (phụ thuộc mainboard)</t>
  </si>
  <si>
    <t>https://www.fractal-design.com/products/cases/focus/focus-g/white/
Ảnh sản phẩm trong kho (pc-gaming-fractal-tuf.webp): nhãn, tem nhìn thấy trên ảnh
https://www.memoryexpress.com/Products/MX70610</t>
  </si>
  <si>
    <t>PC-OFFICE-OPTIPLEX9020</t>
  </si>
  <si>
    <t>PC Văn phòng Dell OptiPlex 9020</t>
  </si>
  <si>
    <t>Dell OptiPlex 9020 Small Form Factor (SFF)</t>
  </si>
  <si>
    <t>Máy bộ văn phòng Dell OptiPlex 9020 vỏ nhỏ gọn (SFF), dùng chipset Intel Q87 và CPU Intel Core thế hệ 4. Phù hợp cho tác vụ hành chính, kế toán và văn phòng.</t>
  </si>
  <si>
    <t>Tuỳ chọn CPU: Intel Core i7/i5 thế hệ 4 (4 nhân, 84 W), Core i3 / Pentium (2 nhân); socket LGA1150
Chipset: Intel Q87 Express
RAM tối đa: 32 GB DDR3-1600 non-ECC, 4 khe DIMM, dual-channel
Lưu trữ: 1 khoang 3,5" trong + 1 khoang 5.25" slim ngoài; HDD tối đa 2 TB, hỗ trợ SSD/SSHD, RAID 0/1
Khe mở rộng: 1x PCIe x16 low-profile + 1x PCIe x16 (chạy x4) low-profile
Cổng kết nối: 4x USB 3.0 (2 trước, 2 sau), 6x USB 2.0 (2 trước, 4 sau), RJ-45, Serial, VGA, 2x DisplayPort, 2x PS/2, line-in, line-out
Đồ hoạ: Intel HD Graphics 4600; hỗ trợ card rời low-profile
Mạng: Intel I217LM Gigabit Ethernet
Nguồn (PSU): 255 W (tuỳ chọn bản hiệu suất 90%, 80 PLUS Gold)
Kiểu dáng: SFF, 29,0 x 9,3 x 31,2 cm (C x R x S), từ 6,0 kg
Hệ điều hành khi ra mắt: Windows 7 Professional SP1 / Windows 8.1 (Pro) / Ubuntu</t>
  </si>
  <si>
    <t>Giả định model: Dữ liệu kho không ghi kiểu vỏ (OptiPlex 9020 có MT, SFF, USFF, Micro). Ảnh là vỏ nằm ngang có ổ DVD slim và 4 cổng USB phía trước, khớp bản SFF.
Chưa tìm thấy nguồn: Ngày ra mắt chính thức (khoảng 2013, chưa có nguồn)</t>
  </si>
  <si>
    <t>https://i.dell.com/sites/csdocuments/Corporate_secure_Documents/en/OptiPlex-9020-micro-spec.PDF</t>
  </si>
  <si>
    <t>Thông số kỹ thuật — Linh kiện PC</t>
  </si>
  <si>
    <t>Lưu ý: RAM Kingston HyperX (RAM-KINGSTON-HYPERX-SODIMM) thực tế là kit 2x2 GB (tổng 4 GB) theo datasheet KHX6400S2ULK2/4G, không phải 2x4 GB như tên trong kho.</t>
  </si>
  <si>
    <t>Loại linh kiện</t>
  </si>
  <si>
    <t>CPU-INTEL-I9-9900K</t>
  </si>
  <si>
    <t>CPU Intel Core i9-9900K</t>
  </si>
  <si>
    <t>Intel Core i9-9900K (Coffee Lake Refresh)</t>
  </si>
  <si>
    <t>CPU desktop Intel Core thế hệ 9 với 8 nhân 16 luồng, xung tối đa 5,0 GHz, mở khoá hệ số nhân để ép xung. Dùng socket LGA1151 và có sẵn đồ hoạ tích hợp UHD 630.</t>
  </si>
  <si>
    <t>Nhân/Luồng: 8 / 16
Xung cơ bản: 3,60 GHz
Xung tăng tốc: 5,00 (Max Turbo) (đơn vị: GHz)
Bộ nhớ đệm: 16 MB Intel Smart Cache
TDP: 95 W
Socket: FCLGA1151
Bộ nhớ hỗ trợ: DDR4-2666, tối đa 128 GB
GPU tích hợp: Intel UHD Graphics 630
Ngày ra mắt: Q4/2018</t>
  </si>
  <si>
    <t>https://www.intel.com/content/www/us/en/products/sku/186605/intel-core-i99900k-processor-16m-cache-up-to-5-00-ghz/specifications.html</t>
  </si>
  <si>
    <t>CPU-AMD-R9-3900X</t>
  </si>
  <si>
    <t>CPU AMD Ryzen 9 3900X</t>
  </si>
  <si>
    <t>AMD Ryzen 9 3900X (Zen 2 "Matisse")</t>
  </si>
  <si>
    <t>CPU desktop AMD Ryzen 9 thế hệ 3000 với 12 nhân 24 luồng, tiến trình 7 nm, xung tối đa 4,6 GHz. Dùng socket AM4, hỗ trợ PCIe 4.0, phù hợp đa nhiệm và render.</t>
  </si>
  <si>
    <t>Nhân/Luồng: 12 / 24
Xung cơ bản: 3,8 GHz
Xung tăng tốc: tối đa 4,6 (đơn vị: GHz)
Bộ nhớ đệm: L2 6 MB, L3 64 MB
TDP: 105 W
Socket: AM4
Bộ nhớ hỗ trợ: DDR4, tối đa 3200 MT/s, dual-channel
Tiến trình: 7 nm TSMC (2 chiplet CCD) + I/O die 12 nm, kiến trúc Zen 2
Ngày ra mắt: 07/07/2019
Tản kèm hộp: AMD Wraith Prism (LED RGB), kèm trong hộp</t>
  </si>
  <si>
    <t>https://www.amd.com/en/products/processors/desktops/ryzen/3000-series/amd-ryzen-9-3900x.html
https://techpowerup.com/cpu-specs/ryzen-9-3900x.c2128
https://en.wikipedia.org/wiki/Zen_2</t>
  </si>
  <si>
    <t>RAM-KINGSTON-HYPERX-SODIMM</t>
  </si>
  <si>
    <t>RAM Laptop Kingston HyperX SO-DIMM (Kit 2x4GB)</t>
  </si>
  <si>
    <t>Kingston HyperX KHX6400S2ULK2/4G (kit 2x2 GB DDR2-800 SO-DIMM)</t>
  </si>
  <si>
    <t>Bộ RAM laptop Kingston HyperX DDR2-800 (PC2-6400) gồm 2 thanh 2 GB, tổng 4 GB, độ trễ thấp CL4. Chuẩn SO-DIMM 200 chân, điện áp 1,8 V.</t>
  </si>
  <si>
    <t>Loại: DDR2 SO-DIMM 200 chân, non-ECC unbuffered, 2Rx8
Dung lượng kit: 4 GB (2 x 2 GB)
Tốc độ: DDR2-800 (PC2-6400); profile phụ DDR2-667 (đơn vị: MT/s)
Độ trễ (CL): CL4-4-4-12 @ 800 MHz (CL3-4-4-10 @ 667 MHz)
Điện áp: 1,8 (±0,1) (đơn vị: V)
Bảo hành: Trọn đời (Lifetime)
Ngày ra mắt: Công bố 03/09/2008</t>
  </si>
  <si>
    <t>ĐÍNH CHÍNH: theo datasheet Kingston KHX6400S2ULK2/4G đây là kit 2x2 GB (tổng 4 GB), không phải 2x4 GB như tên sản phẩm trong kho.</t>
  </si>
  <si>
    <t>https://www.kingston.com/dataSheets/KHX6400S2ULK2_4G.pdf
Ảnh sản phẩm trong kho (ram-kingston-hyperx-sodimm.webp): nhãn, tem nhìn thấy trên ảnh
https://www.hothardware.com/News/Kingston-Launches-Low-Latency-Notebook-Memory</t>
  </si>
  <si>
    <t>SSD-SAMSUNG-870QVO-8TB</t>
  </si>
  <si>
    <t>SSD Samsung 870 QVO 8TB</t>
  </si>
  <si>
    <t>SSD</t>
  </si>
  <si>
    <t>Samsung 870 QVO 8TB (MZ-77Q8T0)</t>
  </si>
  <si>
    <t>SSD SATA 2,5 inch dung lượng 8 TB dùng chip nhớ QLC V-NAND của Samsung, tốc độ đọc/ghi tuần tự tới 560/530 MB/s. Phù hợp lưu trữ dung lượng lớn thay cho HDD.</t>
  </si>
  <si>
    <t>Dung lượng: 8 TB
Giao tiếp: SATA 6 Gb/s (tương thích 3 / 1,5 Gb/s)
Kiểu dáng: 2,5 inch, 100 x 69,85 x 6,8 mm, khoảng 57 g
NAND: Samsung V-NAND 4-bit MLC (QLC)
Bộ điều khiển: Samsung MKX
Bộ nhớ đệm: 8 GB LPDDR4 (Samsung Low Power DDR4 SDRAM)
Đọc tuần tự: 560 MB/s
Ghi tuần tự: 530 (Intelligent TurboWrite) (đơn vị: MB/s)
Ngẫu nhiên QD32: 98.000 / 88.000 IOPS (đọc/ghi 4KB)
Độ bền ghi (TBW): 2.880 TB
Bảo hành: 3 năm hoặc hết TBW (tuỳ điều kiện nào đến trước)
Ngày ra mắt: Công bố 30/06/2020 (bản 8 TB giao từ tháng 8/2020)</t>
  </si>
  <si>
    <t>https://www.samsung.com/ca/memory-storage/870-qvo-sata-3-2-5-ssd/MZ-77Q8T0BAM
https://www.samsung.com/sg/business/memory-storage/sata-ssd/870-qvo-sata-3-2-5-ssd-mz-77q8t0bw/
https://www.sammobile.com/new/samsung-launches-870-qvo-ssd-series-8tb-storage/</t>
  </si>
  <si>
    <t>GPU-MSI-RTX3070-VENTUS3X</t>
  </si>
  <si>
    <t>Card đồ họa MSI GeForce RTX 3070 Ventus 3X OC</t>
  </si>
  <si>
    <t>Card đồ hoạ</t>
  </si>
  <si>
    <t>MSI GeForce RTX 3070 VENTUS 3X OC (bản gốc 2020, không LHR)</t>
  </si>
  <si>
    <t>Card đồ hoạ MSI RTX 3070 Ventus 3X OC dùng 3 quạt, 8 GB GDDR6, xung boost 1755 MHz. Phù hợp chơi game 1440p và hỗ trợ ray tracing, DLSS.</t>
  </si>
  <si>
    <t>Chip đồ hoạ: NVIDIA GA104-300 (Ampere), 5888 CUDA cores
VRAM: 8 GB GDDR6, 256-bit, 14 Gbps
Xung tăng tốc: 1755 MHz
Giao tiếp: PCI Express 4.0 x16
Công suất card: 220 W
PSU khuyến nghị: 650 W
Đầu cấp nguồn: 2x 8-pin
Cổng xuất hình: 3x DisplayPort 1.4a, 1x HDMI 2.1
Kích thước: 305 x 121 x 52 mm (dài x cao x dày); tản choán sang khe thứ 3; nặng 991,6 g</t>
  </si>
  <si>
    <t>https://www.notebookcheck.net/NVIDIA-GeForce-RTX-3070-confirmed-to-be-using-the-GA104-300-GPU.496247.0.html
https://www.msi.com/Graphics-Card/GeForce-RTX-3070-VENTUS-3X-OC/Specification
https://www.servethehome.com/msi-geforce-rtx-3070-ventus-3x-oc-edition-review-nvidia/
https://storage-asset.msi.com/datasheet/vga/kr/GeForce-RTX-3070-VENTUS-3X-OC.pdf</t>
  </si>
  <si>
    <t>MB-ASUS-ROG-STRIXZ390F</t>
  </si>
  <si>
    <t>Bo mạch chủ ASUS ROG Strix Z390-F Gaming</t>
  </si>
  <si>
    <t>Bo mạch chủ</t>
  </si>
  <si>
    <t>ASUS ROG STRIX Z390-F GAMING</t>
  </si>
  <si>
    <t>Bo mạch chủ ATX chipset Intel Z390, socket LGA1151, hỗ trợ CPU Intel Core thế hệ 8/9 và ép xung. Có 2 khe M.2, mạng Intel Gigabit và USB 3.1 Gen 2.</t>
  </si>
  <si>
    <t>Socket: LGA1151 (Intel Core thế hệ 8/9)
Chipset: Intel Z390
Kiểu dáng: ATX, 30,5 x 24,4 cm
Khe RAM/tối đa: 4 khe DIMM DDR4, tối đa 128 GB, 2133 đến 4266 MHz (OC)
Khe M.2: 2 khe M.2: #1 SATA/PCIe 3.0 x4 (2242-2280), #2 PCIe 3.0 x4 (2242-22110)
SATA: 6x SATA 6 Gb/s
Mạng: Intel I219V Gigabit LAN; không có Wi-Fi
USB phía sau: 4x USB 3.1 Gen 2 (3 Type-A + 1 Type-C), 2x USB 3.1 Gen 1, 2x USB 2.0</t>
  </si>
  <si>
    <t>https://rog.asus.com/motherboards/rog-strix/rog-strix-z390-f-gaming-model/spec/</t>
  </si>
  <si>
    <t>PSU-OCZ-600W</t>
  </si>
  <si>
    <t>Nguồn máy tính OCZ 600W</t>
  </si>
  <si>
    <t>OCZ ModXStream Pro 600W (OCZ600MXSP)</t>
  </si>
  <si>
    <t>Nguồn máy tính OCZ ModXStream Pro công suất 600 W, đạt chuẩn 80 PLUS, thiết kế bán module. Có PFC chủ động và quạt 135 mm.</t>
  </si>
  <si>
    <t>Công suất: 600 W
Hiệu suất: 80 PLUS (mức tiêu chuẩn/White)
Kiểu dây: Bán module: dây 24-pin, ATX12V, EPS12V cố định; dây PCIe/SATA/Molex/FDD tháo rời
Kiểu dáng: ATX12V / EPS12V
Quạt: 135 mm
PFC: Active PFC
Đầu cắm: PCIe: 1x 6-pin + 1x 6+2-pin; 6x SATA; 4x Molex; 2x FDD; 1x EPS12V 8-pin; 1x ATX12V 4-pin (EPS/ATX12V cố định)
Năm phát hành: khoảng 2009-2010 (review Hardware Secrets 25/02/2010)</t>
  </si>
  <si>
    <t>Chưa tìm thấy nguồn: Datasheet chính thức OCZ (sản phẩm đã ngừng, OCZ không còn kinh doanh nguồn); Thời hạn bảo hành (các nguồn bán lẻ ghi 3 năm, chưa xác minh); Dòng các rail +12V</t>
  </si>
  <si>
    <t>Ảnh sản phẩm trong kho (psu-ocz-600w.webp): nhãn, tem nhìn thấy trên ảnh
https://www.buildcores.com/products/PSU/r7djvf1l6/OCZ-ModXStream-Pro-600W-Semi-Modular-80%2B
https://hardwaresecrets.com/ocz-modxstream-pro-600-w-power-supply-review/</t>
  </si>
  <si>
    <t>CASE-ATX-GAMING</t>
  </si>
  <si>
    <t>Case Gaming ATX</t>
  </si>
  <si>
    <t>Vỏ case</t>
  </si>
  <si>
    <t>Fractal Design Define R5 (Black)</t>
  </si>
  <si>
    <t>Vỏ máy ATX mid tower cách âm Fractal Design Define R5, có 2 khoang 5.25" và tối đa 8 khay ổ 3,5"/2,5". Đi kèm 2 quạt 140 mm, hỗ trợ card đồ hoạ dài tới 440 mm khi tháo lồng ổ phía trên.</t>
  </si>
  <si>
    <t>Mainboard hỗ trợ: ATX / Micro-ATX / Mini-ITX, 7 khe mở rộng
Quạt kèm theo: 2x Fractal Dynamic GP-14 140 mm (1 trước, 1 sau)
Vị trí quạt: Trước 2, trên 3, hông 1, đáy 2, sau 1 (120/140 mm)
Radiator: Trên tối đa 420 mm; trước tối đa 360 mm; đáy 240 mm; sau 140 mm
VGA dài tối đa: 440 mm
Tản CPU cao tối đa: 180 mm
PSU dài tối đa: 190 (ATX) (đơn vị: mm)
Khoang ổ đĩa: 2x 5.25", 8x 3,5"/2,5", 2x 2,5" chuyên dụng
Cổng mặt trước: 2x USB 2.0, 2x USB-A 5 Gbps, jack tai nghe, jack mic
Kích thước/Trọng lượng: 531 x 232 x 462 mm, 10,7 kg</t>
  </si>
  <si>
    <t>Giả định model: Dữ liệu kho và tên ảnh không ghi hãng. Ảnh chụp nội thất vỏ ATX mid tower màu đen: cụm 2 khoang 5.25" ở góc trên phía trước, lồng HDD 5 khay bên dưới, không có tấm che PSU, đáy và mặt sau đục lỗ. Bố cục này khớp Define R5 khi đã tháo lồng HDD phía trên. Độ tin cậy thấp, nên thay bằng model thực tế nếu biết.
Cấu hình tham khảo — chưa xác nhận đúng model của hàng trong kho.
Chưa tìm thấy nguồn: Model thật của vỏ trong ảnh (chưa xác định được)</t>
  </si>
  <si>
    <t>https://www.fractal-design.com/products/cases/define/define-r5/black/</t>
  </si>
  <si>
    <t>COOLER-ARCTIC-FREEZER13</t>
  </si>
  <si>
    <t>Tản nhiệt khí Arctic Freezer 13</t>
  </si>
  <si>
    <t>Tản nhiệt</t>
  </si>
  <si>
    <t>ARCTIC Freezer 13</t>
  </si>
  <si>
    <t>Tản nhiệt khí dạng tháp ARCTIC Freezer 13 dùng quạt 92 mm PWM và ống dẫn nhiệt đồng 6 mm, hỗ trợ nhiều socket Intel và AMD. Có sẵn keo tản nhiệt MX-4, vận hành êm (0,5 sone).</t>
  </si>
  <si>
    <t>Socket hỗ trợ: Intel 1150, 1151, 1155, 1156, 1366, 775; AMD AM4, AM3(+), AM2(+), FM2(+), FM1
Ống dẫn nhiệt: 3 ống chữ U Ø6 mm, đi xuyên hai bên khối tản (6 đầu ống), theo bảng thông số hiện hành (r6, 2018); bản đầu năm 2010 dùng 4 ống chữ U Ø6 mm
Quạt: 92 mm PWM, 600-2000 RPM, bạc đạn Fluid Dynamic, 0,5 sone
TDP khuyến nghị: Khuyến nghị cho CPU TDP tới 140 W; khả năng tản tối đa 200 W
Kích thước/Trọng lượng: 123 x 96 x 130 mm (D x R x C), 700 g
Keo tản nhiệt: Bôi sẵn ARCTIC MX-4
Bảo hành: 6 năm (giới hạn)</t>
  </si>
  <si>
    <t>Lưu ý: mô tả trong kho ghi "4 ống đồng" chưa chắc đã sai. Bản Freezer 13 đầu tiên (2010) có 4 ống chữ U Ø6 mm, còn bảng thông số hiện hành (r6) ghi 3 ống. Ảnh sản phẩm chụp máy đời khoảng 2010-2012 (mainboard AMD in "Support 8-Core", tem 2009/2010) và không đếm rõ được số đầu ống. Cần xem hàng thực tế để chọn 3 hay 4 ống.</t>
  </si>
  <si>
    <t>https://arctic.de/media/fe/5f/d1/1584104671/spec_sheet_Freezer_13_180302_r6_EN.pdf</t>
  </si>
  <si>
    <t>Thông số kỹ thuật — Màn hình</t>
  </si>
  <si>
    <t>Kích thước</t>
  </si>
  <si>
    <t>Độ phân giải</t>
  </si>
  <si>
    <t>Tần số quét</t>
  </si>
  <si>
    <t>Tấm nền</t>
  </si>
  <si>
    <t>Độ cong</t>
  </si>
  <si>
    <t>Thời gian phản hồi</t>
  </si>
  <si>
    <t>Độ sáng/Tương phản</t>
  </si>
  <si>
    <t>HDR/Đồng bộ</t>
  </si>
  <si>
    <t>Cổng vào</t>
  </si>
  <si>
    <t>Loa</t>
  </si>
  <si>
    <t>VESA</t>
  </si>
  <si>
    <t>Góc nhìn</t>
  </si>
  <si>
    <t>MON-BENQ-CURVEDGAMING</t>
  </si>
  <si>
    <t>Màn hình Gaming cong BenQ</t>
  </si>
  <si>
    <t>BenQ MOBIUZ EX3210R (31,5", 1000R, 165 Hz)</t>
  </si>
  <si>
    <t>Màn hình gaming cong BenQ MOBIUZ 31,5 inch, độ cong 1000R, độ phân giải QHD 2560x1440, tần số quét 165 Hz. Tấm nền VA, hỗ trợ HDR400 và FreeSync Premium Pro, có loa 2.1 tích hợp.</t>
  </si>
  <si>
    <t>31,5 inch</t>
  </si>
  <si>
    <t>2560x1440 (QHD), 92 PPI</t>
  </si>
  <si>
    <t>165 Hz</t>
  </si>
  <si>
    <t>VA, chống chói</t>
  </si>
  <si>
    <t>1000R</t>
  </si>
  <si>
    <t>1 ms (MPRT)</t>
  </si>
  <si>
    <t>300 nit (400 nit đỉnh HDR), tương phản 2500:1</t>
  </si>
  <si>
    <t>VESA DisplayHDR 400, HDR10; AMD FreeSync Premium Pro</t>
  </si>
  <si>
    <t>2x HDMI 2.0, 1x DisplayPort 1.4, USB hub (1 up / 2x USB 3.0 down), jack tai nghe</t>
  </si>
  <si>
    <t>2.1 kênh (2x 2 W + woofer 5 W)</t>
  </si>
  <si>
    <t>100x100 (đơn vị: mm)</t>
  </si>
  <si>
    <t>Giả định model: Dữ liệu kho không ghi model. Ảnh chụp gian hàng BenQ (chữ "Sim Racing-Monitore") với 3 màn cong 16:9 khoảng 32 inch. EX3210R là màn cong 16:9 gaming 32 inch phổ biến nhất của BenQ thời điểm đó. Không xác nhận được từ ảnh.
Cấu hình tham khảo — chưa xác nhận đúng model của hàng trong kho.
Chưa tìm thấy nguồn: Thời gian phản hồi GtG (BenQ chỉ ghi MPRT); Ngày ra mắt chính thức (đã có review năm 2021: https://www.tomshardware.com/reviews/benq-mobius-ex3210r-review)</t>
  </si>
  <si>
    <t>https://www.benq.com/en-ph/monitor/gaming/ex3210r/spec.html</t>
  </si>
  <si>
    <t>MON-SAMSUNG-SYNCMASTER940B</t>
  </si>
  <si>
    <t>Màn hình Samsung SyncMaster 940B</t>
  </si>
  <si>
    <t>Samsung SyncMaster 940B (mã LS19HABTSQ theo Icecat)</t>
  </si>
  <si>
    <t>Màn hình LCD văn phòng Samsung SyncMaster 19 inch tỉ lệ 5:4, độ phân giải 1280x1024, tấm nền TN. Có cả cổng VGA (D-Sub) và DVI-D.</t>
  </si>
  <si>
    <t>19 (48,3 cm), tỉ lệ 5:4 (đơn vị: inch)</t>
  </si>
  <si>
    <t>1280x1024</t>
  </si>
  <si>
    <t>60 (tần số khuyến nghị ở 1280x1024; datasheet Samsung không ghi tần số tối đa) (đơn vị: Hz)</t>
  </si>
  <si>
    <t>TN</t>
  </si>
  <si>
    <t>Phẳng</t>
  </si>
  <si>
    <t>8 (theo datasheet Samsung; một số listing bên thứ ba ghi 5 ms)</t>
  </si>
  <si>
    <t>300 cd/m², tương phản 700:1</t>
  </si>
  <si>
    <t>D-Sub (VGA), DVI-D</t>
  </si>
  <si>
    <t>160° / 160°</t>
  </si>
  <si>
    <t>2005 (datasheet Samsung ghi © 2005)</t>
  </si>
  <si>
    <t>Chưa tìm thấy nguồn: Tần số quét tối đa (datasheet không ghi; có người dùng báo chạy được 75 Hz)</t>
  </si>
  <si>
    <t>https://icecat.ro/p/samsung/ls19habtsq/computer+monitors-syncmaster+940b-328228.html
https://images10.newegg.com/UploadFilesForNewegg/itemintelligence/Samsung/24-001-066/940b-black-ds.pdf
https://www.lcd-compare.com/moniteur-SAMSM940B-SAMSUNG-SyncMaster-940B.htm</t>
  </si>
  <si>
    <t>Thông số kỹ thuật — Phụ kiện</t>
  </si>
  <si>
    <t>KB-KEYCHRON-K4</t>
  </si>
  <si>
    <t>Bàn phím cơ Keychron K4</t>
  </si>
  <si>
    <t>Keychron K4 Wireless Mechanical Keyboard (Version 2, RGB, ANSI)</t>
  </si>
  <si>
    <t>Bàn phím cơ không dây Keychron K4 bố cục 96% (100 phím, có cụm phím số), kết nối Bluetooth 5.1 với tối đa 3 thiết bị hoặc dùng dây USB-C. Đèn nền RGB, pin 4000 mAh, tương thích macOS và Windows.</t>
  </si>
  <si>
    <t>Bố cục: 96%, 100 phím, ANSI (US), có cụm phím số
Switch: Gateron Red / Blue / Brown (có bản hot-swap)
Kết nối: Bluetooth 5.1 (tối đa 3 thiết bị) + có dây USB Type-C
Pin: 4000 mAh; tới 240 giờ khi tắt đèn, khoảng 72 giờ khi bật RGB; sạc khoảng 3 giờ
Đèn nền: RGB (có bản đèn trắng), 4 mức sáng
Hệ điều hành hỗ trợ: macOS, Windows, iOS, Android
Kích thước/Trọng lượng: Khung nhựa 371 x 124 x 38 mm, khoảng 770 g; khung nhôm 376 x 129 x 38 mm, khoảng 933 g</t>
  </si>
  <si>
    <t>Giả định model: Dữ liệu kho không ghi phiên bản. K4 có các bản V1, V2, V3 và K4 Pro. Chọn Version 2 (Bluetooth 5.1, bản RGB) vì là bản phổ biến nhất, khớp mô tả "96%, RGB, Bluetooth".
Chưa tìm thấy nguồn: Polling rate (trang hãng không ghi)</t>
  </si>
  <si>
    <t>https://keychron.be/products/keychron-k4-wireless-mechanical-keyboard-version-2</t>
  </si>
  <si>
    <t>MOUSE-PROTOARC-WIRELESS</t>
  </si>
  <si>
    <t>Chuột không dây ProtoArc</t>
  </si>
  <si>
    <t>ProtoArc EM15 Compact Portable Wireless Mouse (Black)</t>
  </si>
  <si>
    <t>Chuột không dây công thái học ProtoArc EM15 nặng 68 g, con lăn màu cam, kết nối Bluetooth và đầu thu USB-A/USB-C, chuyển nhanh giữa 3 thiết bị. Pin sạc qua cổng Type-C, nút trái phải bấm êm.</t>
  </si>
  <si>
    <t>dpi: 1000 / 1600 / 2400 (3 mức) (đơn vị: DPI)
Kết nối: Bluetooth (BLE) + đầu thu không dây USB-A và USB-C (kèm theo); tối đa 3 thiết bị; tầm 10 m
Nút bấm: Trái, phải, con lăn, DPI, nút chuyển thiết bị, 2 nút bên (tiến/lùi); nút trái phải bấm êm
Pin: Li-Po sạc 300 mAh; dùng khoảng 15 ngày, chờ 200 ngày sau 2 giờ sạc; sạc qua Type-C
Trọng lượng/Kích thước: 68 g; 125,4 x 64,6 x 39,3 mm
Hệ điều hành hỗ trợ: Windows, macOS 10.10 trở lên, Android, ChromeOS (Bluetooth cần Windows 8+, macOS 10.10+, Android 4.3+)
Đối chiếu màu: Bản đen có con lăn màu cam</t>
  </si>
  <si>
    <t>Giả định model: Dữ liệu kho chỉ ghi "chuột không dây ProtoArc, công thái học". Ảnh là chuột ngang màu đen, con lăn màu cam, nút DPI và 2 nút bên. ProtoArc mô tả EM15 màu đen là "Black EM15 USB C wireless mouse with orange scroll wheel", khớp nhất với ảnh. Các model còn lại (EM11, EM05, EM03...) là chuột đứng hoặc trackball.
Chưa tìm thấy nguồn: Phiên bản Bluetooth; Loại cảm biến</t>
  </si>
  <si>
    <t>https://www.protoarc.com/products/em15-usb-c-wireless-mouse
https://www.protoarc.com/collections/portable-mice</t>
  </si>
  <si>
    <t>HEADSET-CREATIVE-SBX-H5</t>
  </si>
  <si>
    <t>Tai nghe Creative Sound BlasterX H5</t>
  </si>
  <si>
    <t>Creative Sound BlasterX H5 (bản tiêu chuẩn, analog 3,5 mm)</t>
  </si>
  <si>
    <t>Tai nghe gaming chụp tai Creative Sound BlasterX H5 dùng driver 50 mm, kết nối jack 3,5 mm 4 cực, micro tháo rời có lọc ồn. Dùng được với PC, console và điện thoại.</t>
  </si>
  <si>
    <t>Driver loa: 50 mm neodymium (FullSpectrum), 20 Hz-20 kHz, 32 Ω, 118 dB/mW
Kết nối: Có dây jack 3,5 mm 4 cực, cáp bện 1,2 m có điều khiển; kèm cáp chia tai nghe/mic
Micro: Condenser một hướng, lọc ồn, tháo rời được; 100 Hz-15 kHz, -40 dB</t>
  </si>
  <si>
    <t>Giả định model: Ảnh đúng là Sound BlasterX H5 (logo BlasterX, chữ X đỏ, càng kim loại bạc). Bản Tournament Edition (TE) có driver và micro nâng cấp, mặt ốp tai bằng kim loại xước màu gun-metal. Ảnh có mặt ốp đen in hoạ tiết chấm, khớp bản tiêu chuẩn, và tên trong kho không có chữ "Tournament/TE".
Chưa tìm thấy nguồn: Trọng lượng; Năm ra mắt; Trang Creative Asia trả 404 khi truy cập trực tiếp; số liệu lấy qua kết quả tìm kiếm trỏ tới trang này</t>
  </si>
  <si>
    <t>https://asia.creative.com/p/gaming-headsets/sound-blasterx-h5</t>
  </si>
  <si>
    <t>Chi tiết thông số theo từng giá trị</t>
  </si>
  <si>
    <t>Mỗi dòng một thông số; nguồn chính và nguồn đối chiếu ghi riêng.</t>
  </si>
  <si>
    <t>Thuộc tính</t>
  </si>
  <si>
    <t>Giá trị</t>
  </si>
  <si>
    <t>Nguồn chính</t>
  </si>
  <si>
    <t>Nguồn đối chiếu</t>
  </si>
  <si>
    <t>Ghi chú nguồn</t>
  </si>
  <si>
    <t>https://www.notebookcheck.net/Dell-XPS-M1330.5463.0.html</t>
  </si>
  <si>
    <t>T9300 theo https://www.laptopmag.com/reviews/laptops/dell-xps-m1330-penryn</t>
  </si>
  <si>
    <t>GB</t>
  </si>
  <si>
    <t>https://www.laptopmag.com/reviews/laptops/dell-xps-m1330-penryn</t>
  </si>
  <si>
    <t>Notebookcheck: 1 GB (2x512 MB) DDR2-667</t>
  </si>
  <si>
    <t>160 GB theo https://www.laptopmag.com/reviews/laptops/dell-xps-m1330-penryn</t>
  </si>
  <si>
    <t>inch</t>
  </si>
  <si>
    <t>khoảng 1,8 (pin 6 cell); khoảng 2,0 (4,5 lb) với pin 9 cell</t>
  </si>
  <si>
    <t>kg</t>
  </si>
  <si>
    <t>4,5 lb theo https://www.laptopmag.com/reviews/laptops/dell-xps-m1330-penryn</t>
  </si>
  <si>
    <t>Wh</t>
  </si>
  <si>
    <t>https://psref.lenovo.com/syspool/Sys/PDF/ThinkPad/ThinkPad_T460/ThinkPad_T460_Spec.PDF</t>
  </si>
  <si>
    <t>PSREF không ghi loại tấm nền của bản HD (chỉ ghi 200 nit, 350:1), nên "TN" chưa có nguồn thứ hai</t>
  </si>
  <si>
    <t>PSREF: GPU rời 940MX chỉ bán ở thị trường Mỹ; i7-6500U chỉ có trên bản có GPU rời</t>
  </si>
  <si>
    <t>từ 1,73 (3+3 cell, không cảm ứng)</t>
  </si>
  <si>
    <t>https://pcper.com/2016/01/ces-2016-lenovo-announces-thinkpad-t460-series-notebooks/</t>
  </si>
  <si>
    <t>GHz</t>
  </si>
  <si>
    <t>https://www.notebookcheck.net/HP-Envy-14-eb0021tx.602559.0.html</t>
  </si>
  <si>
    <t>https://globallinker.com/products/hp-envy-14-eb0021tx-silver-11th-gen-i7-1165g7-16gb-1-tb-ssd-14-16-10-aspect-ratio-wuxga-antiglare-ips-400-nits-low-power-narrow-border-flat-4gb-nvidia-geforce-gtx-1650ti-windows-10-home-s-2019-backlit-keyboard-fpr-7198181</t>
  </si>
  <si>
    <t>TB</t>
  </si>
  <si>
    <t>16:10 theo windowscentral và listing bán lẻ theo SKU (WUXGA, IPS, 400 nit, chống chói). Bảng của Notebookcheck ghi nhầm 16:9</t>
  </si>
  <si>
    <t>1,49</t>
  </si>
  <si>
    <t>https://windowscentral.com/hp-unveils-new-envy-14-intel-11th-gen-chips-and-dedicated-nvidia-gtx-1650-graphics</t>
  </si>
  <si>
    <t>Kiểu dáng</t>
  </si>
  <si>
    <t>Vỏ ATX Mid Tower (hỗ trợ ATX / Micro-ATX / Mini-ITX), 7 khe mở rộng</t>
  </si>
  <si>
    <t>https://www.fractal-design.com/products/cases/focus/focus-g/white/</t>
  </si>
  <si>
    <t>màu Petrol Blue theo https://www.walmart.com/ip/338891926</t>
  </si>
  <si>
    <t>Tuỳ chọn CPU</t>
  </si>
  <si>
    <t>AMD Ryzen socket AM4 (nhìn thấy tản AMD Wraith Prism; chưa xác định model CPU)</t>
  </si>
  <si>
    <t>Ảnh sản phẩm trong kho (pc-gaming-fractal-tuf.webp): nhãn, tem nhìn thấy trên ảnh</t>
  </si>
  <si>
    <t>ảnh sản phẩm trong kho (đã xem lại: tản AMD Wraith Prism có viền RGB; VGA ghi GEFORCE GTX / CERBERUS)</t>
  </si>
  <si>
    <t>ASUS Cerberus GeForce GTX (model cụ thể chưa xác định)</t>
  </si>
  <si>
    <t>Vỏ có 2x 5.25", 2x 3,5"/2,5", 1x 2,5" chuyên dụng (ảnh: 1 HDD 3,5" + 1 SSD 2,5")</t>
  </si>
  <si>
    <t>Cổng mặt trước</t>
  </si>
  <si>
    <t>1x USB 2.0, 1x USB-A 5 Gbps, jack tai nghe, jack mic</t>
  </si>
  <si>
    <t>Quạt</t>
  </si>
  <si>
    <t>2x Fractal Silent LL 120 mm LED trắng (phía trước); tối đa 6 vị trí quạt</t>
  </si>
  <si>
    <t>mm</t>
  </si>
  <si>
    <t>VGA dài tối đa</t>
  </si>
  <si>
    <t>380</t>
  </si>
  <si>
    <t>Tản CPU cao tối đa</t>
  </si>
  <si>
    <t>165</t>
  </si>
  <si>
    <t>Kích thước vỏ</t>
  </si>
  <si>
    <t>464 x 205 x 444 (D x R x C), 4,5 kg</t>
  </si>
  <si>
    <t>Nắp hông</t>
  </si>
  <si>
    <t>Tấm hông thép có cửa sổ lớn bằng mica (acrylic), không phải kính cường lực</t>
  </si>
  <si>
    <t>https://www.memoryexpress.com/Products/MX70610</t>
  </si>
  <si>
    <t>https://www.buildcores.com/products/PCCase/ibce6q89y/Fractal-Design-Focus-G-ATX-Mid-Tower-Black-Acrylic-Side-Panel%2C-USB-3.2-Gen-1-Type-A-%26-USB-2.0-Type-A</t>
  </si>
  <si>
    <t>Review Focus 2 của APH Networks nói Focus 2 chuyển sang kính cường lực thay cho acrylic của đời trước. Vài shop ghi nhầm là "TG"</t>
  </si>
  <si>
    <t>Intel Core i7/i5 thế hệ 4 (4 nhân, 84 W), Core i3 / Pentium (2 nhân); socket LGA1150</t>
  </si>
  <si>
    <t>Dell không ghi tên socket; LGA1150 là socket của Core thế hệ 4</t>
  </si>
  <si>
    <t>Intel Q87 Express</t>
  </si>
  <si>
    <t>RAM tối đa</t>
  </si>
  <si>
    <t>32 GB DDR3-1600 non-ECC, 4 khe DIMM, dual-channel</t>
  </si>
  <si>
    <t>1 khoang 3,5" trong + 1 khoang 5.25" slim ngoài; HDD tối đa 2 TB, hỗ trợ SSD/SSHD, RAID 0/1</t>
  </si>
  <si>
    <t>Khe mở rộng</t>
  </si>
  <si>
    <t>1x PCIe x16 low-profile + 1x PCIe x16 (chạy x4) low-profile</t>
  </si>
  <si>
    <t>4x USB 3.0 (2 trước, 2 sau), 6x USB 2.0 (2 trước, 4 sau), RJ-45, Serial, VGA, 2x DisplayPort, 2x PS/2, line-in, line-out</t>
  </si>
  <si>
    <t>Đồ hoạ</t>
  </si>
  <si>
    <t>Intel HD Graphics 4600; hỗ trợ card rời low-profile</t>
  </si>
  <si>
    <t>Mạng</t>
  </si>
  <si>
    <t>Intel I217LM Gigabit Ethernet</t>
  </si>
  <si>
    <t>Nguồn (PSU)</t>
  </si>
  <si>
    <t>255 W (tuỳ chọn bản hiệu suất 90%, 80 PLUS Gold)</t>
  </si>
  <si>
    <t>W</t>
  </si>
  <si>
    <t>SFF, 29,0 x 9,3 x 31,2 cm (C x R x S), từ 6,0 kg</t>
  </si>
  <si>
    <t>cm</t>
  </si>
  <si>
    <t>Windows 7 Professional SP1 / Windows 8.1 (Pro) / Ubuntu</t>
  </si>
  <si>
    <t>Nhân/Luồng</t>
  </si>
  <si>
    <t>8 / 16</t>
  </si>
  <si>
    <t>https://en.wikipedia.org/wiki/Coffee_Lake</t>
  </si>
  <si>
    <t>Xung cơ bản</t>
  </si>
  <si>
    <t>3,60</t>
  </si>
  <si>
    <t>Xung tăng tốc</t>
  </si>
  <si>
    <t>5,00 (Max Turbo)</t>
  </si>
  <si>
    <t>Bộ nhớ đệm</t>
  </si>
  <si>
    <t>16 MB Intel Smart Cache</t>
  </si>
  <si>
    <t>MB</t>
  </si>
  <si>
    <t>TDP</t>
  </si>
  <si>
    <t>95</t>
  </si>
  <si>
    <t>Socket</t>
  </si>
  <si>
    <t>FCLGA1151</t>
  </si>
  <si>
    <t>Bộ nhớ hỗ trợ</t>
  </si>
  <si>
    <t>DDR4-2666, tối đa 128 GB</t>
  </si>
  <si>
    <t>GPU tích hợp</t>
  </si>
  <si>
    <t>Intel UHD Graphics 630</t>
  </si>
  <si>
    <t>Ngày ra mắt</t>
  </si>
  <si>
    <t>Q4/2018</t>
  </si>
  <si>
    <t>12 / 24</t>
  </si>
  <si>
    <t>https://www.amd.com/en/products/processors/desktops/ryzen/3000-series/amd-ryzen-9-3900x.html</t>
  </si>
  <si>
    <t>https://www.amd.com/en/product/8436</t>
  </si>
  <si>
    <t>3,8</t>
  </si>
  <si>
    <t>tối đa 4,6</t>
  </si>
  <si>
    <t>L2 6 MB, L3 64 MB</t>
  </si>
  <si>
    <t>https://en.wikipedia.org/wiki/Zen_2</t>
  </si>
  <si>
    <t>L3 64 MB có trên AMD và Wikipedia; L2 6 MB (12 x 512 KB) chỉ có trên TechPowerUp</t>
  </si>
  <si>
    <t>105</t>
  </si>
  <si>
    <t>AM4</t>
  </si>
  <si>
    <t>DDR4, tối đa 3200 MT/s, dual-channel</t>
  </si>
  <si>
    <t>https://techpowerup.com/cpu-specs/ryzen-9-3900x.c2128</t>
  </si>
  <si>
    <t>Tiến trình</t>
  </si>
  <si>
    <t>7 nm TSMC (2 chiplet CCD) + I/O die 12 nm, kiến trúc Zen 2</t>
  </si>
  <si>
    <t>nm</t>
  </si>
  <si>
    <t>https://techpowerup.com/cpu-specs/ryzen-9-3900x.c2128 (nguồn đối chiếu, xác nhận 7 nm TSMC)</t>
  </si>
  <si>
    <t>07/07/2019</t>
  </si>
  <si>
    <t>Trang AMD vẫn timeout. Giá trị xác nhận qua trang thông số AMD (amd.com/en/product/8436, đọc từ kết quả tìm kiếm) và Wikipedia Zen 2</t>
  </si>
  <si>
    <t>Tản kèm hộp</t>
  </si>
  <si>
    <t>AMD Wraith Prism (LED RGB), kèm trong hộp</t>
  </si>
  <si>
    <t>Loại</t>
  </si>
  <si>
    <t>DDR2 SO-DIMM 200 chân, non-ECC unbuffered, 2Rx8</t>
  </si>
  <si>
    <t>https://www.kingston.com/dataSheets/KHX6400S2ULK2_4G.pdf</t>
  </si>
  <si>
    <t>Dung lượng kit</t>
  </si>
  <si>
    <t>4 GB (2 x 2 GB)</t>
  </si>
  <si>
    <t>Tốc độ</t>
  </si>
  <si>
    <t>DDR2-800 (PC2-6400); profile phụ DDR2-667</t>
  </si>
  <si>
    <t>MT/s</t>
  </si>
  <si>
    <t>profile 667 theo https://www.hothardware.com/News/Kingston-Launches-Low-Latency-Notebook-Memory</t>
  </si>
  <si>
    <t>Độ trễ (CL)</t>
  </si>
  <si>
    <t>CL4-4-4-12 @ 800 MHz (CL3-4-4-10 @ 667 MHz)</t>
  </si>
  <si>
    <t>timing 667 theo https://www.hothardware.com/News/Kingston-Launches-Low-Latency-Notebook-Memory</t>
  </si>
  <si>
    <t>Điện áp</t>
  </si>
  <si>
    <t>1,8 (±0,1)</t>
  </si>
  <si>
    <t>V</t>
  </si>
  <si>
    <t>Bảo hành</t>
  </si>
  <si>
    <t>Trọn đời (Lifetime)</t>
  </si>
  <si>
    <t>Ảnh sản phẩm trong kho (ram-kingston-hyperx-sodimm.webp): nhãn, tem nhìn thấy trên ảnh</t>
  </si>
  <si>
    <t>Ảnh sản phẩm (tờ hướng dẫn in "LIFETIME WARRANTY"); chưa có nguồn online</t>
  </si>
  <si>
    <t>đọc từ tờ bảo hành trong ảnh; chưa đối chiếu chính sách online</t>
  </si>
  <si>
    <t>Công bố 03/09/2008</t>
  </si>
  <si>
    <t>https://www.hothardware.com/News/Kingston-Launches-Low-Latency-Notebook-Memory</t>
  </si>
  <si>
    <t>Dung lượng</t>
  </si>
  <si>
    <t>8</t>
  </si>
  <si>
    <t>https://www.samsung.com/ca/memory-storage/870-qvo-sata-3-2-5-ssd/MZ-77Q8T0BAM</t>
  </si>
  <si>
    <t>Giao tiếp</t>
  </si>
  <si>
    <t>SATA 6 Gb/s (tương thích 3 / 1,5 Gb/s)</t>
  </si>
  <si>
    <t>2,5 inch, 100 x 69,85 x 6,8 mm, khoảng 57 g</t>
  </si>
  <si>
    <t>https://www.samsung.com/sg/business/memory-storage/sata-ssd/870-qvo-sata-3-2-5-ssd-mz-77q8t0bw/</t>
  </si>
  <si>
    <t>Trang Samsung CA ghi 46 g (số của bản 1 TB); trang Samsung SG cho bản 8 TB ghi khoảng 57 g</t>
  </si>
  <si>
    <t>NAND</t>
  </si>
  <si>
    <t>Samsung V-NAND 4-bit MLC (QLC)</t>
  </si>
  <si>
    <t>Bộ điều khiển</t>
  </si>
  <si>
    <t>Samsung MKX</t>
  </si>
  <si>
    <t>8 GB LPDDR4 (Samsung Low Power DDR4 SDRAM)</t>
  </si>
  <si>
    <t>https://shop.screwlooseit.com.au/?p=50396 (trích đoạn tìm kiếm: "Samsung 8GB Low Power DDR4 SDRAM")</t>
  </si>
  <si>
    <t>Bảng spec trang Samsung CA ghi 1 GB, là số của bản 1 TB (cùng lỗi với TBW 360). Trang Samsung SG cho mã MZ-77Q8T0BW ghi 8 GB</t>
  </si>
  <si>
    <t>Đọc tuần tự</t>
  </si>
  <si>
    <t>560</t>
  </si>
  <si>
    <t>MB/s</t>
  </si>
  <si>
    <t>Ghi tuần tự</t>
  </si>
  <si>
    <t>530 (Intelligent TurboWrite)</t>
  </si>
  <si>
    <t>Ngẫu nhiên QD32</t>
  </si>
  <si>
    <t>98.000 / 88.000 IOPS (đọc/ghi 4KB)</t>
  </si>
  <si>
    <t>IOPS</t>
  </si>
  <si>
    <t>Độ bền ghi (TBW)</t>
  </si>
  <si>
    <t>2.880</t>
  </si>
  <si>
    <t>Trang Samsung SG cho bản 8 TB ghi 2.880 TBW; bảng spec trang CA ghi 360 TBW (số của bản 1 TB)</t>
  </si>
  <si>
    <t>3 năm hoặc hết TBW (tuỳ điều kiện nào đến trước)</t>
  </si>
  <si>
    <t>Công bố 30/06/2020 (bản 8 TB giao từ tháng 8/2020)</t>
  </si>
  <si>
    <t>https://www.sammobile.com/new/samsung-launches-870-qvo-ssd-series-8tb-storage/</t>
  </si>
  <si>
    <t>Chip đồ hoạ</t>
  </si>
  <si>
    <t>NVIDIA GA104-300 (Ampere), 5888 CUDA cores</t>
  </si>
  <si>
    <t>https://www.notebookcheck.net/NVIDIA-GeForce-RTX-3070-confirmed-to-be-using-the-GA104-300-GPU.496247.0.html</t>
  </si>
  <si>
    <t>https://storage-asset.msi.com/datasheet/vga/kr/GeForce-RTX-3070-VENTUS-3X-OC.pdf</t>
  </si>
  <si>
    <t>5888 nhân CUDA theo datasheet MSI; mã GA104-300 theo Notebookcheck</t>
  </si>
  <si>
    <t>VRAM</t>
  </si>
  <si>
    <t>8 GB GDDR6, 256-bit, 14 Gbps</t>
  </si>
  <si>
    <t>https://www.msi.com/Graphics-Card/GeForce-RTX-3070-VENTUS-3X-OC/Specification</t>
  </si>
  <si>
    <t>14 Gbps theo https://www.notebookcheck.net/NVIDIA-GeForce-RTX-3070-confirmed-to-be-using-the-GA104-300-GPU.496247.0.html</t>
  </si>
  <si>
    <t>1755</t>
  </si>
  <si>
    <t>MHz</t>
  </si>
  <si>
    <t>PCI Express 4.0 x16</t>
  </si>
  <si>
    <t>Công suất card</t>
  </si>
  <si>
    <t>220</t>
  </si>
  <si>
    <t>PSU khuyến nghị</t>
  </si>
  <si>
    <t>650</t>
  </si>
  <si>
    <t>Đầu cấp nguồn</t>
  </si>
  <si>
    <t>2x 8-pin</t>
  </si>
  <si>
    <t>https://www.servethehome.com/msi-geforce-rtx-3070-ventus-3x-oc-edition-review-nvidia/</t>
  </si>
  <si>
    <t>Cổng xuất hình</t>
  </si>
  <si>
    <t>3x DisplayPort 1.4a, 1x HDMI 2.1</t>
  </si>
  <si>
    <t>305 x 121 x 52 mm (dài x cao x dày); tản choán sang khe thứ 3; nặng 991,6 g</t>
  </si>
  <si>
    <t>Kích thước và trọng lượng theo datasheet MSI. ServeTheHome xác nhận dài 12" và choán sang khe thứ 3</t>
  </si>
  <si>
    <t>LGA1151 (Intel Core thế hệ 8/9)</t>
  </si>
  <si>
    <t>Intel Z390</t>
  </si>
  <si>
    <t>ATX, 30,5 x 24,4 cm</t>
  </si>
  <si>
    <t>Khe RAM/tối đa</t>
  </si>
  <si>
    <t>4 khe DIMM DDR4, tối đa 128 GB, 2133 đến 4266 MHz (OC)</t>
  </si>
  <si>
    <t>tài liệu cũ của ASUS ghi tối đa 64 GB; trang hiện tại ghi 128 GB</t>
  </si>
  <si>
    <t>Khe M.2</t>
  </si>
  <si>
    <t>2 khe M.2: #1 SATA/PCIe 3.0 x4 (2242-2280), #2 PCIe 3.0 x4 (2242-22110)</t>
  </si>
  <si>
    <t>Khe #1 hỗ trợ 2242/2260/2280; khi chạy chế độ SATA sẽ tắt cổng SATA 2</t>
  </si>
  <si>
    <t>SATA</t>
  </si>
  <si>
    <t>6x SATA 6 Gb/s</t>
  </si>
  <si>
    <t>Intel I219V Gigabit LAN; không có Wi-Fi</t>
  </si>
  <si>
    <t>USB phía sau</t>
  </si>
  <si>
    <t>4x USB 3.1 Gen 2 (3 Type-A + 1 Type-C), 2x USB 3.1 Gen 1, 2x USB 2.0</t>
  </si>
  <si>
    <t>Công suất</t>
  </si>
  <si>
    <t>600</t>
  </si>
  <si>
    <t>Ảnh sản phẩm trong kho (psu-ocz-600w.webp): nhãn, tem nhìn thấy trên ảnh</t>
  </si>
  <si>
    <t>https://www.buildcores.com/products/PSU/r7djvf1l6/OCZ-ModXStream-Pro-600W-Semi-Modular-80%2B</t>
  </si>
  <si>
    <t>khớp https://www.buildcores.com/products/PSU/r7djvf1l6/OCZ-ModXStream-Pro-600W-Semi-Modular-80%2B</t>
  </si>
  <si>
    <t>Hiệu suất</t>
  </si>
  <si>
    <t>80 PLUS (mức tiêu chuẩn/White)</t>
  </si>
  <si>
    <t>logo 80 PLUS trên nhãn trong ảnh không ghi Bronze/Gold</t>
  </si>
  <si>
    <t>Kiểu dây</t>
  </si>
  <si>
    <t>Bán module: dây 24-pin, ATX12V, EPS12V cố định; dây PCIe/SATA/Molex/FDD tháo rời</t>
  </si>
  <si>
    <t>https://hardwaresecrets.com/ocz-modxstream-pro-600-w-power-supply-review/</t>
  </si>
  <si>
    <t>ATX12V / EPS12V</t>
  </si>
  <si>
    <t>135 mm</t>
  </si>
  <si>
    <t>PFC</t>
  </si>
  <si>
    <t>Active PFC</t>
  </si>
  <si>
    <t>Đầu cắm</t>
  </si>
  <si>
    <t>PCIe: 1x 6-pin + 1x 6+2-pin; 6x SATA; 4x Molex; 2x FDD; 1x EPS12V 8-pin; 1x ATX12V 4-pin (EPS/ATX12V cố định)</t>
  </si>
  <si>
    <t>SATA/Molex/EPS theo https://www.buildcores.com/products/PSU/r7djvf1l6/OCZ-ModXStream-Pro-600W-Semi-Modular-80%2B</t>
  </si>
  <si>
    <t>Năm phát hành</t>
  </si>
  <si>
    <t>khoảng 2009-2010 (review Hardware Secrets 25/02/2010)</t>
  </si>
  <si>
    <t>Mainboard hỗ trợ</t>
  </si>
  <si>
    <t>ATX / Micro-ATX / Mini-ITX, 7 khe mở rộng</t>
  </si>
  <si>
    <t>Quạt kèm theo</t>
  </si>
  <si>
    <t>2x Fractal Dynamic GP-14 140 mm (1 trước, 1 sau)</t>
  </si>
  <si>
    <t>Vị trí quạt</t>
  </si>
  <si>
    <t>Trước 2, trên 3, hông 1, đáy 2, sau 1 (120/140 mm)</t>
  </si>
  <si>
    <t>Radiator</t>
  </si>
  <si>
    <t>Trên tối đa 420 mm; trước tối đa 360 mm; đáy 240 mm; sau 140 mm</t>
  </si>
  <si>
    <t>440</t>
  </si>
  <si>
    <t>Trang hãng chỉ ghi 440 mm. Con số này là khi tháo lồng HDD phía trên (như trong ảnh); khi có lồng thì ngắn hơn, chưa xác minh được bao nhiêu</t>
  </si>
  <si>
    <t>180</t>
  </si>
  <si>
    <t>PSU dài tối đa</t>
  </si>
  <si>
    <t>190 (ATX)</t>
  </si>
  <si>
    <t>Khoang ổ đĩa</t>
  </si>
  <si>
    <t>2x 5.25", 8x 3,5"/2,5", 2x 2,5" chuyên dụng</t>
  </si>
  <si>
    <t>2x USB 2.0, 2x USB-A 5 Gbps, jack tai nghe, jack mic</t>
  </si>
  <si>
    <t>Kích thước/Trọng lượng</t>
  </si>
  <si>
    <t>531 x 232 x 462 mm, 10,7 kg</t>
  </si>
  <si>
    <t>Socket hỗ trợ</t>
  </si>
  <si>
    <t>Intel 1150, 1151, 1155, 1156, 1366, 775; AMD AM4, AM3(+), AM2(+), FM2(+), FM1</t>
  </si>
  <si>
    <t>Danh sách theo bảng thông số hiện hành. Bản 2010 chỉ hỗ trợ Intel 1366/1156/775 và AMD AM3/AM2+/939/754</t>
  </si>
  <si>
    <t>Ống dẫn nhiệt</t>
  </si>
  <si>
    <t>3 ống chữ U Ø6 mm, đi xuyên hai bên khối tản (6 đầu ống), theo bảng thông số hiện hành (r6, 2018); bản đầu năm 2010 dùng 4 ống chữ U Ø6 mm</t>
  </si>
  <si>
    <t>https://aphnetworks.com/reviews/arctic_cooling_freezer_13</t>
  </si>
  <si>
    <t>Spec ARCTIC thời 2010 (APH Networks trích lại ngày 03/12/2010; Hardware Secrets 2011 cũng ghi 4 ống): "4x U-shaped Ø 6mm", 45 lá nhôm, 695 g</t>
  </si>
  <si>
    <t>92 mm PWM, 600-2000 RPM, bạc đạn Fluid Dynamic, 0,5 sone</t>
  </si>
  <si>
    <t>TDP khuyến nghị</t>
  </si>
  <si>
    <t>Khuyến nghị cho CPU TDP tới 140 W; khả năng tản tối đa 200 W</t>
  </si>
  <si>
    <t>123 x 96 x 130 mm (D x R x C), 700 g</t>
  </si>
  <si>
    <t>Keo tản nhiệt</t>
  </si>
  <si>
    <t>Bôi sẵn ARCTIC MX-4</t>
  </si>
  <si>
    <t>6 năm (giới hạn)</t>
  </si>
  <si>
    <t>31,5</t>
  </si>
  <si>
    <t>Hz</t>
  </si>
  <si>
    <t>ms</t>
  </si>
  <si>
    <t>100x100</t>
  </si>
  <si>
    <t>19 (48,3 cm), tỉ lệ 5:4</t>
  </si>
  <si>
    <t>https://icecat.ro/p/samsung/ls19habtsq/computer+monitors-syncmaster+940b-328228.html</t>
  </si>
  <si>
    <t>https://images10.newegg.com/UploadFilesForNewegg/itemintelligence/Samsung/24-001-066/940b-black-ds.pdf</t>
  </si>
  <si>
    <t>60 (tần số khuyến nghị ở 1280x1024; datasheet Samsung không ghi tần số tối đa)</t>
  </si>
  <si>
    <t>có người dùng báo chạy được 75 Hz</t>
  </si>
  <si>
    <t>https://www.lcd-compare.com/moniteur-SAMSM940B-SAMSUNG-SyncMaster-940B.htm</t>
  </si>
  <si>
    <t>https://hardforum.com/threads/samsung-940b-good-gaming-lcd.957972/</t>
  </si>
  <si>
    <t>Datasheet Samsung chỉ ghi "a-Si TFT-LCD"; loại TN theo HardForum (09/2005) và LCD-Compare</t>
  </si>
  <si>
    <t>https://icecat.ro/p/samsung/ls19habtsq/computer+monitors-syncmaster+940b-328228.html (trích đoạn tìm kiếm: 8 ms)</t>
  </si>
  <si>
    <t>LCD-Compare liệt kê 2 phiên bản 8 ms và 5 ms: https://www.lcd-compare.com/moniteur-SAMSM940B-SAMSUNG-SyncMaster-940B.htm</t>
  </si>
  <si>
    <t>https://www.lcd-compare.com/moniteur-SAMSM940B-SAMSUNG-SyncMaster-940B.htm (trích đoạn kết quả tìm kiếm: khoảng 2005)</t>
  </si>
  <si>
    <t>Bố cục</t>
  </si>
  <si>
    <t>96%, 100 phím, ANSI (US), có cụm phím số</t>
  </si>
  <si>
    <t>https://www.keychron.com/products/keychron-k4-wireless-mechanical-keyboard-version-2</t>
  </si>
  <si>
    <t>Switch</t>
  </si>
  <si>
    <t>Gateron Red / Blue / Brown (có bản hot-swap)</t>
  </si>
  <si>
    <t>Kết nối</t>
  </si>
  <si>
    <t>Bluetooth 5.1 (tối đa 3 thiết bị) + có dây USB Type-C</t>
  </si>
  <si>
    <t>Keychron ghi dùng chip Bluetooth 5.1 của Broadcom</t>
  </si>
  <si>
    <t>4000 mAh; tới 240 giờ khi tắt đèn, khoảng 72 giờ khi bật RGB; sạc khoảng 3 giờ</t>
  </si>
  <si>
    <t>mAh</t>
  </si>
  <si>
    <t>4000 mAh, 240 giờ khi tắt đèn, 72 giờ khi bật RGB: khớp trang keychron.com. Thời gian sạc 3 giờ chưa xác minh</t>
  </si>
  <si>
    <t>Đèn nền</t>
  </si>
  <si>
    <t>RGB (có bản đèn trắng), 4 mức sáng</t>
  </si>
  <si>
    <t>Hệ điều hành hỗ trợ</t>
  </si>
  <si>
    <t>macOS, Windows, iOS, Android</t>
  </si>
  <si>
    <t>Khung nhựa 371 x 124 x 38 mm, khoảng 770 g; khung nhôm 376 x 129 x 38 mm, khoảng 933 g</t>
  </si>
  <si>
    <t>dpi</t>
  </si>
  <si>
    <t>1000 / 1600 / 2400 (3 mức)</t>
  </si>
  <si>
    <t>DPI</t>
  </si>
  <si>
    <t>https://www.protoarc.com/products/em15-usb-c-wireless-mouse</t>
  </si>
  <si>
    <t>Bluetooth (BLE) + đầu thu không dây USB-A và USB-C (kèm theo); tối đa 3 thiết bị; tầm 10 m</t>
  </si>
  <si>
    <t>Nút bấm</t>
  </si>
  <si>
    <t>Trái, phải, con lăn, DPI, nút chuyển thiết bị, 2 nút bên (tiến/lùi); nút trái phải bấm êm</t>
  </si>
  <si>
    <t>Li-Po sạc 300 mAh; dùng khoảng 15 ngày, chờ 200 ngày sau 2 giờ sạc; sạc qua Type-C</t>
  </si>
  <si>
    <t>Trọng lượng/Kích thước</t>
  </si>
  <si>
    <t>68 g; 125,4 x 64,6 x 39,3 mm</t>
  </si>
  <si>
    <t>g</t>
  </si>
  <si>
    <t>Windows, macOS 10.10 trở lên, Android, ChromeOS (Bluetooth cần Windows 8+, macOS 10.10+, Android 4.3+)</t>
  </si>
  <si>
    <t>Đối chiếu màu</t>
  </si>
  <si>
    <t>Bản đen có con lăn màu cam</t>
  </si>
  <si>
    <t>https://www.protoarc.com/collections/portable-mice</t>
  </si>
  <si>
    <t>Driver loa</t>
  </si>
  <si>
    <t>50 mm neodymium (FullSpectrum), 20 Hz-20 kHz, 32 Ω, 118 dB/mW</t>
  </si>
  <si>
    <t>https://us.creative.com/p/gaming-headsets/sound-blasterx-h5-tournament-edition</t>
  </si>
  <si>
    <t>50 mm FullSpectrum, 20 Hz-20 kHz theo trang Creative bản TE; 118 dB/mW theo multitronic.fi; 32 Ω chỉ thấy trong trích đoạn tìm kiếm của trang Creative Asia (trang đã gỡ, 404)</t>
  </si>
  <si>
    <t>Có dây jack 3,5 mm 4 cực, cáp bện 1,2 m có điều khiển; kèm cáp chia tai nghe/mic</t>
  </si>
  <si>
    <t>cũng ghi tại https://mdcomputers.in/creative-sound-blasterx-h5.html</t>
  </si>
  <si>
    <t>Micro</t>
  </si>
  <si>
    <t>Condenser một hướng, lọc ồn, tháo rời được; 100 Hz-15 kHz, -40 dB</t>
  </si>
  <si>
    <t>Số 100 Hz-15 kHz, -40 dB khớp trang bản TE (cùng dòng). Trang bản tiêu chuẩn đã gỡ</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</si>
</sst>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quot;-&quot;"/>
    <numFmt numFmtId="179" formatCode="dd/mm/yyyy"/>
    <numFmt numFmtId="180" formatCode="0.0%;\(0.0%\);&quot;-&quot;"/>
  </numFmts>
  <fonts count="29">
    <font>
      <sz val="10"/>
      <name val="Arial"/>
      <charset val="134"/>
    </font>
    <font>
      <b/>
      <sz val="14"/>
      <color rgb="FF1F4E78"/>
      <name val="Arial"/>
      <charset val="134"/>
    </font>
    <font>
      <i/>
      <sz val="9"/>
      <color rgb="FF595959"/>
      <name val="Arial"/>
      <charset val="134"/>
    </font>
    <font>
      <b/>
      <sz val="10"/>
      <color rgb="FFFFFFFF"/>
      <name val="Arial"/>
      <charset val="134"/>
    </font>
    <font>
      <sz val="10"/>
      <color rgb="FF000000"/>
      <name val="Arial"/>
      <charset val="134"/>
    </font>
    <font>
      <sz val="9"/>
      <color rgb="FF1F4E78"/>
      <name val="Arial"/>
      <charset val="134"/>
    </font>
    <font>
      <sz val="10"/>
      <color rgb="FF0000FF"/>
      <name val="Arial"/>
      <charset val="134"/>
    </font>
    <font>
      <b/>
      <sz val="10"/>
      <color rgb="FFC00000"/>
      <name val="Arial"/>
      <charset val="134"/>
    </font>
    <font>
      <b/>
      <sz val="10"/>
      <color rgb="FF000000"/>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7">
    <fill>
      <patternFill patternType="none"/>
    </fill>
    <fill>
      <patternFill patternType="gray125"/>
    </fill>
    <fill>
      <patternFill patternType="solid">
        <fgColor rgb="FF1F4E78"/>
        <bgColor indexed="64"/>
      </patternFill>
    </fill>
    <fill>
      <patternFill patternType="solid">
        <fgColor rgb="FFFFFF99"/>
        <bgColor indexed="64"/>
      </patternFill>
    </fill>
    <fill>
      <patternFill patternType="solid">
        <fgColor rgb="FFEDEDED"/>
        <bgColor indexed="64"/>
      </patternFill>
    </fill>
    <fill>
      <patternFill patternType="solid">
        <fgColor rgb="FFD9E2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177"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6"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7" borderId="5" applyNumberFormat="0" applyAlignment="0" applyProtection="0">
      <alignment vertical="center"/>
    </xf>
    <xf numFmtId="0" fontId="19" fillId="8" borderId="6" applyNumberFormat="0" applyAlignment="0" applyProtection="0">
      <alignment vertical="center"/>
    </xf>
    <xf numFmtId="0" fontId="20" fillId="8" borderId="5" applyNumberFormat="0" applyAlignment="0" applyProtection="0">
      <alignment vertical="center"/>
    </xf>
    <xf numFmtId="0" fontId="21" fillId="9"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7" fillId="36" borderId="0" applyNumberFormat="0" applyBorder="0" applyAlignment="0" applyProtection="0">
      <alignment vertical="center"/>
    </xf>
  </cellStyleXfs>
  <cellXfs count="23">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5" fillId="0" borderId="1" xfId="0" applyFont="1" applyBorder="1" applyAlignment="1">
      <alignment vertical="top" wrapText="1"/>
    </xf>
    <xf numFmtId="178" fontId="6" fillId="3" borderId="1" xfId="0" applyNumberFormat="1" applyFont="1" applyFill="1" applyBorder="1" applyAlignment="1">
      <alignment vertical="top" wrapText="1"/>
    </xf>
    <xf numFmtId="179" fontId="4" fillId="0" borderId="1" xfId="0" applyNumberFormat="1" applyFont="1" applyBorder="1" applyAlignment="1">
      <alignment horizontal="center" vertical="top" wrapText="1"/>
    </xf>
    <xf numFmtId="0" fontId="7" fillId="0" borderId="1" xfId="0" applyFont="1" applyBorder="1" applyAlignment="1">
      <alignment vertical="top" wrapText="1"/>
    </xf>
    <xf numFmtId="0" fontId="2" fillId="0" borderId="0" xfId="0" applyFont="1" applyAlignment="1">
      <alignment vertical="top"/>
    </xf>
    <xf numFmtId="0" fontId="8" fillId="0" borderId="1" xfId="0" applyFont="1" applyBorder="1" applyAlignment="1">
      <alignment vertical="top" wrapText="1"/>
    </xf>
    <xf numFmtId="178" fontId="4" fillId="0" borderId="1" xfId="0" applyNumberFormat="1" applyFont="1" applyBorder="1" applyAlignment="1">
      <alignment vertical="top" wrapText="1"/>
    </xf>
    <xf numFmtId="0" fontId="8" fillId="4" borderId="1" xfId="0" applyFont="1" applyFill="1" applyBorder="1" applyAlignment="1">
      <alignment vertical="top" wrapText="1"/>
    </xf>
    <xf numFmtId="0" fontId="4" fillId="4" borderId="1" xfId="0" applyFont="1" applyFill="1" applyBorder="1" applyAlignment="1">
      <alignment vertical="top" wrapText="1"/>
    </xf>
    <xf numFmtId="178" fontId="8" fillId="4" borderId="1" xfId="0" applyNumberFormat="1" applyFont="1" applyFill="1" applyBorder="1" applyAlignment="1">
      <alignment vertical="top" wrapText="1"/>
    </xf>
    <xf numFmtId="180" fontId="4" fillId="0" borderId="1" xfId="0" applyNumberFormat="1" applyFont="1" applyBorder="1" applyAlignment="1">
      <alignment vertical="top" wrapText="1"/>
    </xf>
    <xf numFmtId="0" fontId="8" fillId="5" borderId="1" xfId="0" applyFont="1" applyFill="1" applyBorder="1" applyAlignment="1">
      <alignment vertical="top" wrapText="1"/>
    </xf>
    <xf numFmtId="0" fontId="4" fillId="0" borderId="1" xfId="0" applyFont="1" applyBorder="1" applyAlignment="1">
      <alignment horizontal="left" vertical="top" wrapText="1"/>
    </xf>
    <xf numFmtId="179" fontId="4" fillId="0" borderId="1" xfId="0" applyNumberFormat="1" applyFont="1" applyBorder="1" applyAlignment="1">
      <alignment horizontal="left" vertical="top" wrapText="1"/>
    </xf>
    <xf numFmtId="0" fontId="8" fillId="0" borderId="0" xfId="0" applyFont="1" applyAlignment="1">
      <alignment vertical="top"/>
    </xf>
    <xf numFmtId="0" fontId="6" fillId="3" borderId="1" xfId="0" applyFont="1" applyFill="1" applyBorder="1" applyAlignment="1">
      <alignment horizontal="center" vertical="top" wrapText="1"/>
    </xf>
    <xf numFmtId="0" fontId="3" fillId="2" borderId="1" xfId="0" applyFont="1" applyFill="1" applyBorder="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32"/>
  <sheetViews>
    <sheetView showGridLines="0" tabSelected="1" workbookViewId="0">
      <selection activeCell="A1" sqref="A1"/>
    </sheetView>
  </sheetViews>
  <sheetFormatPr defaultColWidth="9" defaultRowHeight="13.2" outlineLevelCol="1"/>
  <cols>
    <col min="1" max="1" width="26" customWidth="1"/>
    <col min="2" max="2" width="95" customWidth="1"/>
  </cols>
  <sheetData>
    <row r="1" ht="22" customHeight="1" spans="1:2">
      <c r="A1" s="1" t="s">
        <v>0</v>
      </c>
    </row>
    <row r="3" spans="1:2">
      <c r="A3" s="17" t="s">
        <v>1</v>
      </c>
      <c r="B3" s="18" t="s">
        <v>2</v>
      </c>
    </row>
    <row r="4" spans="1:2">
      <c r="A4" s="17" t="s">
        <v>3</v>
      </c>
      <c r="B4" s="18" t="s">
        <v>4</v>
      </c>
    </row>
    <row r="5" spans="1:2">
      <c r="A5" s="17" t="s">
        <v>5</v>
      </c>
      <c r="B5" s="18" t="s">
        <v>6</v>
      </c>
    </row>
    <row r="6" spans="1:2">
      <c r="A6" s="17" t="s">
        <v>7</v>
      </c>
      <c r="B6" s="18" t="s">
        <v>8</v>
      </c>
    </row>
    <row r="7" spans="1:2">
      <c r="A7" s="17" t="s">
        <v>9</v>
      </c>
      <c r="B7" s="18" t="s">
        <v>10</v>
      </c>
    </row>
    <row r="8" spans="1:2">
      <c r="A8" s="17" t="s">
        <v>11</v>
      </c>
      <c r="B8" s="19">
        <v>46321</v>
      </c>
    </row>
    <row r="9" spans="1:2">
      <c r="A9" s="17" t="s">
        <v>12</v>
      </c>
      <c r="B9" s="18" t="s">
        <v>13</v>
      </c>
    </row>
    <row r="10" spans="1:2">
      <c r="A10" s="17" t="s">
        <v>14</v>
      </c>
      <c r="B10" s="18" t="s">
        <v>15</v>
      </c>
    </row>
    <row r="12" spans="1:2">
      <c r="A12" s="20" t="s">
        <v>16</v>
      </c>
    </row>
    <row r="13" spans="1:2">
      <c r="A13" s="21" t="s">
        <v>17</v>
      </c>
      <c r="B13" s="5" t="s">
        <v>18</v>
      </c>
    </row>
    <row r="14" spans="1:2">
      <c r="A14" s="4" t="s">
        <v>19</v>
      </c>
      <c r="B14" s="5" t="s">
        <v>20</v>
      </c>
    </row>
    <row r="15" spans="1:2">
      <c r="A15" s="22" t="s">
        <v>21</v>
      </c>
      <c r="B15" s="5" t="s">
        <v>22</v>
      </c>
    </row>
    <row r="17" spans="1:2">
      <c r="A17" s="20" t="s">
        <v>23</v>
      </c>
    </row>
    <row r="18" spans="1:2">
      <c r="A18" s="11" t="s">
        <v>24</v>
      </c>
      <c r="B18" s="5" t="s">
        <v>25</v>
      </c>
    </row>
    <row r="19" spans="1:2">
      <c r="A19" s="11" t="s">
        <v>26</v>
      </c>
      <c r="B19" s="5" t="s">
        <v>27</v>
      </c>
    </row>
    <row r="20" spans="1:2">
      <c r="A20" s="11" t="s">
        <v>28</v>
      </c>
      <c r="B20" s="5" t="s">
        <v>29</v>
      </c>
    </row>
    <row r="21" spans="1:2">
      <c r="A21" s="11" t="s">
        <v>30</v>
      </c>
      <c r="B21" s="5" t="s">
        <v>31</v>
      </c>
    </row>
    <row r="22" spans="1:2">
      <c r="A22" s="11" t="s">
        <v>32</v>
      </c>
      <c r="B22" s="5" t="s">
        <v>33</v>
      </c>
    </row>
    <row r="23" spans="1:2">
      <c r="A23" s="11" t="s">
        <v>34</v>
      </c>
      <c r="B23" s="5" t="s">
        <v>35</v>
      </c>
    </row>
    <row r="24" spans="1:2">
      <c r="A24" s="11" t="s">
        <v>36</v>
      </c>
      <c r="B24" s="5" t="s">
        <v>37</v>
      </c>
    </row>
    <row r="26" spans="1:2">
      <c r="A26" s="20" t="s">
        <v>38</v>
      </c>
    </row>
    <row r="27" ht="26.4" spans="1:2">
      <c r="A27" s="4" t="s">
        <v>39</v>
      </c>
      <c r="B27" s="5" t="s">
        <v>40</v>
      </c>
    </row>
    <row r="28" ht="26.4" spans="1:2">
      <c r="A28" s="4" t="s">
        <v>41</v>
      </c>
      <c r="B28" s="5" t="s">
        <v>42</v>
      </c>
    </row>
    <row r="29" ht="26.4" spans="1:2">
      <c r="A29" s="4" t="s">
        <v>43</v>
      </c>
      <c r="B29" s="5" t="s">
        <v>44</v>
      </c>
    </row>
    <row r="30" ht="39.6" spans="1:2">
      <c r="A30" s="4" t="s">
        <v>45</v>
      </c>
      <c r="B30" s="5" t="s">
        <v>46</v>
      </c>
    </row>
    <row r="31" ht="26.4" spans="1:2">
      <c r="A31" s="4" t="s">
        <v>47</v>
      </c>
      <c r="B31" s="5" t="s">
        <v>48</v>
      </c>
    </row>
    <row r="32" spans="1:2">
      <c r="A32" s="4" t="s">
        <v>49</v>
      </c>
      <c r="B32" s="5" t="s">
        <v>50</v>
      </c>
    </row>
  </sheetData>
  <pageMargins left="0.75" right="0.75" top="1" bottom="1" header="0.5" footer="0.5"/>
  <pageSetup paperSize="1" orientation="landscape"/>
  <headerFooter>
    <oddFooter>&amp;C&amp;"Arial"&amp;8 Tài liệu nội bộ — Công ty Demo SME — dùng cho mục đích minh hoạ đồ án&amp;R&amp;"Arial"&amp;8 Trang &amp;P/&amp;N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16"/>
  <sheetViews>
    <sheetView workbookViewId="0">
      <pane ySplit="4" topLeftCell="A5" activePane="bottomLeft" state="frozen"/>
      <selection/>
      <selection pane="bottomLeft" activeCell="A1" sqref="A1"/>
    </sheetView>
  </sheetViews>
  <sheetFormatPr defaultColWidth="9" defaultRowHeight="13.2"/>
  <cols>
    <col min="1" max="2" width="28" customWidth="1"/>
    <col min="3" max="3" width="10" customWidth="1"/>
    <col min="4" max="4" width="12" customWidth="1"/>
    <col min="5" max="5" width="18" customWidth="1"/>
    <col min="6" max="6" width="14" customWidth="1"/>
    <col min="7" max="9" width="18" customWidth="1"/>
    <col min="10" max="10" width="14" customWidth="1"/>
  </cols>
  <sheetData>
    <row r="1" ht="22" customHeight="1" spans="1:10">
      <c r="A1" s="1" t="s">
        <v>51</v>
      </c>
    </row>
    <row r="2" spans="1:10">
      <c r="A2" s="2" t="s">
        <v>52</v>
      </c>
    </row>
    <row r="4" ht="44" customHeight="1" spans="1:10">
      <c r="A4" s="3" t="s">
        <v>53</v>
      </c>
      <c r="B4" s="3" t="s">
        <v>54</v>
      </c>
      <c r="C4" s="3" t="s">
        <v>55</v>
      </c>
      <c r="D4" s="3" t="s">
        <v>56</v>
      </c>
      <c r="E4" s="3" t="s">
        <v>57</v>
      </c>
      <c r="F4" s="3" t="s">
        <v>58</v>
      </c>
      <c r="G4" s="3" t="s">
        <v>59</v>
      </c>
      <c r="H4" s="3" t="s">
        <v>60</v>
      </c>
      <c r="I4" s="3" t="s">
        <v>61</v>
      </c>
      <c r="J4" s="3" t="s">
        <v>62</v>
      </c>
    </row>
    <row r="5" spans="1:10">
      <c r="A5" s="11" t="s">
        <v>26</v>
      </c>
      <c r="B5" s="5" t="s">
        <v>26</v>
      </c>
      <c r="C5" s="12">
        <f>COUNTA(Laptop!$B$5:$B$60)</f>
        <v>3</v>
      </c>
      <c r="D5" s="12">
        <f>COUNTIF(Laptop!$S$5:$S$60,"Đã xác minh")</f>
        <v>2</v>
      </c>
      <c r="E5" s="12">
        <f>COUNTIF(Laptop!$S$5:$S$60,"Đã đối chiếu*")</f>
        <v>1</v>
      </c>
      <c r="F5" s="12">
        <f>COUNTIF(Laptop!$S$5:$S$60,"Cấu hình tham khảo")</f>
        <v>0</v>
      </c>
      <c r="G5" s="12">
        <f>IFERROR(MIN(Laptop!$R$5:$R$60),0)</f>
        <v>14900000</v>
      </c>
      <c r="H5" s="12">
        <f>IFERROR(MAX(Laptop!$R$5:$R$60),0)</f>
        <v>26900000</v>
      </c>
      <c r="I5" s="12">
        <f>IFERROR(AVERAGE(Laptop!$R$5:$R$60),0)</f>
        <v>20233333.3333333</v>
      </c>
      <c r="J5" s="12">
        <f>COUNTIF('Chi tiết thông số'!$C$5:$C$375,A5)</f>
        <v>32</v>
      </c>
    </row>
    <row r="6" spans="1:10">
      <c r="A6" s="11" t="s">
        <v>63</v>
      </c>
      <c r="B6" s="5" t="s">
        <v>28</v>
      </c>
      <c r="C6" s="12">
        <f>COUNTA(PC!$B$5:$B$60)</f>
        <v>2</v>
      </c>
      <c r="D6" s="12">
        <f>COUNTIF(PC!$H$5:$H$60,"Đã xác minh")</f>
        <v>0</v>
      </c>
      <c r="E6" s="12">
        <f>COUNTIF(PC!$H$5:$H$60,"Đã đối chiếu*")</f>
        <v>2</v>
      </c>
      <c r="F6" s="12">
        <f>COUNTIF(PC!$H$5:$H$60,"Cấu hình tham khảo")</f>
        <v>0</v>
      </c>
      <c r="G6" s="12">
        <f>IFERROR(MIN(PC!$G$5:$G$60),0)</f>
        <v>8900000</v>
      </c>
      <c r="H6" s="12">
        <f>IFERROR(MAX(PC!$G$5:$G$60),0)</f>
        <v>24500000</v>
      </c>
      <c r="I6" s="12">
        <f>IFERROR(AVERAGE(PC!$G$5:$G$60),0)</f>
        <v>16700000</v>
      </c>
      <c r="J6" s="12">
        <f>COUNTIF('Chi tiết thông số'!$C$5:$C$375,A6)</f>
        <v>21</v>
      </c>
    </row>
    <row r="7" spans="1:10">
      <c r="A7" s="11" t="s">
        <v>64</v>
      </c>
      <c r="B7" s="5" t="s">
        <v>30</v>
      </c>
      <c r="C7" s="12">
        <f>COUNTA('Linh kiện'!$B$5:$B$60)</f>
        <v>9</v>
      </c>
      <c r="D7" s="12">
        <f>COUNTIF('Linh kiện'!$I$5:$I$60,"Đã xác minh")</f>
        <v>8</v>
      </c>
      <c r="E7" s="12">
        <f>COUNTIF('Linh kiện'!$I$5:$I$60,"Đã đối chiếu*")</f>
        <v>0</v>
      </c>
      <c r="F7" s="12">
        <f>COUNTIF('Linh kiện'!$I$5:$I$60,"Cấu hình tham khảo")</f>
        <v>1</v>
      </c>
      <c r="G7" s="12">
        <f>IFERROR(MIN('Linh kiện'!$H$5:$H$60),0)</f>
        <v>450000</v>
      </c>
      <c r="H7" s="12">
        <f>IFERROR(MAX('Linh kiện'!$H$5:$H$60),0)</f>
        <v>14900000</v>
      </c>
      <c r="I7" s="12">
        <f>IFERROR(AVERAGE('Linh kiện'!$H$5:$H$60),0)</f>
        <v>5783333.33333333</v>
      </c>
      <c r="J7" s="12">
        <f>COUNTIF('Chi tiết thông số'!$C$5:$C$375,A7)</f>
        <v>80</v>
      </c>
    </row>
    <row r="8" spans="1:10">
      <c r="A8" s="11" t="s">
        <v>32</v>
      </c>
      <c r="B8" s="5" t="s">
        <v>32</v>
      </c>
      <c r="C8" s="12">
        <f>COUNTA('Màn hình'!$B$5:$B$60)</f>
        <v>2</v>
      </c>
      <c r="D8" s="12">
        <f>COUNTIF('Màn hình'!$T$5:$T$60,"Đã xác minh")</f>
        <v>1</v>
      </c>
      <c r="E8" s="12">
        <f>COUNTIF('Màn hình'!$T$5:$T$60,"Đã đối chiếu*")</f>
        <v>0</v>
      </c>
      <c r="F8" s="12">
        <f>COUNTIF('Màn hình'!$T$5:$T$60,"Cấu hình tham khảo")</f>
        <v>1</v>
      </c>
      <c r="G8" s="12">
        <f>IFERROR(MIN('Màn hình'!$S$5:$S$60),0)</f>
        <v>1990000</v>
      </c>
      <c r="H8" s="12">
        <f>IFERROR(MAX('Màn hình'!$S$5:$S$60),0)</f>
        <v>7900000</v>
      </c>
      <c r="I8" s="12">
        <f>IFERROR(AVERAGE('Màn hình'!$S$5:$S$60),0)</f>
        <v>4945000</v>
      </c>
      <c r="J8" s="12">
        <f>COUNTIF('Chi tiết thông số'!$C$5:$C$375,A8)</f>
        <v>21</v>
      </c>
    </row>
    <row r="9" spans="1:10">
      <c r="A9" s="11" t="s">
        <v>34</v>
      </c>
      <c r="B9" s="5" t="s">
        <v>34</v>
      </c>
      <c r="C9" s="12">
        <f>COUNTA('Phụ kiện'!$B$5:$B$60)</f>
        <v>3</v>
      </c>
      <c r="D9" s="12">
        <f>COUNTIF('Phụ kiện'!$H$5:$H$60,"Đã xác minh")</f>
        <v>0</v>
      </c>
      <c r="E9" s="12">
        <f>COUNTIF('Phụ kiện'!$H$5:$H$60,"Đã đối chiếu*")</f>
        <v>3</v>
      </c>
      <c r="F9" s="12">
        <f>COUNTIF('Phụ kiện'!$H$5:$H$60,"Cấu hình tham khảo")</f>
        <v>0</v>
      </c>
      <c r="G9" s="12">
        <f>IFERROR(MIN('Phụ kiện'!$G$5:$G$60),0)</f>
        <v>450000</v>
      </c>
      <c r="H9" s="12">
        <f>IFERROR(MAX('Phụ kiện'!$G$5:$G$60),0)</f>
        <v>1890000</v>
      </c>
      <c r="I9" s="12">
        <f>IFERROR(AVERAGE('Phụ kiện'!$G$5:$G$60),0)</f>
        <v>1263333.33333333</v>
      </c>
      <c r="J9" s="12">
        <f>COUNTIF('Chi tiết thông số'!$C$5:$C$375,A9)</f>
        <v>17</v>
      </c>
    </row>
    <row r="10" spans="1:10">
      <c r="A10" s="13" t="s">
        <v>65</v>
      </c>
      <c r="B10" s="14" t="s">
        <v>66</v>
      </c>
      <c r="C10" s="15">
        <f>SUM(C5:C9)</f>
        <v>19</v>
      </c>
      <c r="D10" s="15">
        <f>SUM(D5:D9)</f>
        <v>11</v>
      </c>
      <c r="E10" s="15">
        <f>SUM(E5:E9)</f>
        <v>6</v>
      </c>
      <c r="F10" s="15">
        <f>SUM(F5:F9)</f>
        <v>2</v>
      </c>
      <c r="G10" s="15">
        <f>MIN(G5:G9)</f>
        <v>450000</v>
      </c>
      <c r="H10" s="15">
        <f>MAX(H5:H9)</f>
        <v>26900000</v>
      </c>
      <c r="I10" s="15">
        <f>IFERROR((SUM(Laptop!$R$5:$R$60)+SUM(PC!$G$5:$G$60)+SUM('Linh kiện'!$H$5:$H$60)+SUM('Màn hình'!$S$5:$S$60)+SUM('Phụ kiện'!$G$5:$G$60))/C10,0)</f>
        <v>8412105.26315789</v>
      </c>
      <c r="J10" s="15">
        <f>SUM(J5:J9)</f>
        <v>171</v>
      </c>
    </row>
    <row r="12" spans="1:10">
      <c r="A12" s="11" t="s">
        <v>67</v>
      </c>
      <c r="B12" s="5" t="s">
        <v>68</v>
      </c>
      <c r="C12" s="7">
        <v>19</v>
      </c>
    </row>
    <row r="13" spans="1:10">
      <c r="A13" s="11" t="s">
        <v>69</v>
      </c>
      <c r="B13" s="5" t="s">
        <v>70</v>
      </c>
      <c r="C13" s="11" t="str">
        <f>IF(C10=C12,"Khớp","Lệch")</f>
        <v>Khớp</v>
      </c>
    </row>
    <row r="14" spans="1:10">
      <c r="A14" s="11" t="s">
        <v>71</v>
      </c>
      <c r="B14" s="5" t="s">
        <v>72</v>
      </c>
      <c r="C14" s="16">
        <f>IFERROR(D10/C10,0)</f>
        <v>0.578947368421053</v>
      </c>
    </row>
    <row r="16" spans="1:10">
      <c r="A16" s="10" t="s">
        <v>73</v>
      </c>
    </row>
  </sheetData>
  <pageMargins left="0.75" right="0.75" top="1" bottom="1" header="0.5" footer="0.5"/>
  <pageSetup paperSize="1" fitToHeight="0" orientation="landscape"/>
  <headerFooter>
    <oddFooter>&amp;C&amp;"Arial"&amp;8 Tài liệu nội bộ — Công ty Demo SME — dùng cho mục đích minh hoạ đồ án&amp;R&amp;"Arial"&amp;8 Trang &amp;P/&amp;N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V7"/>
  <sheetViews>
    <sheetView workbookViewId="0">
      <pane xSplit="2" ySplit="4" topLeftCell="C5" activePane="bottomRight" state="frozen"/>
      <selection/>
      <selection pane="topRight"/>
      <selection pane="bottomLeft"/>
      <selection pane="bottomRight" activeCell="A1" sqref="A1"/>
    </sheetView>
  </sheetViews>
  <sheetFormatPr defaultColWidth="9" defaultRowHeight="13.2" outlineLevelRow="6"/>
  <cols>
    <col min="1" max="1" width="6" customWidth="1"/>
    <col min="2" max="2" width="24" customWidth="1"/>
    <col min="3" max="4" width="30" customWidth="1"/>
    <col min="5" max="5" width="42" customWidth="1"/>
    <col min="6" max="17" width="22" customWidth="1"/>
    <col min="18" max="18" width="16" customWidth="1"/>
    <col min="19" max="19" width="20" customWidth="1"/>
    <col min="20" max="20" width="13" customWidth="1"/>
    <col min="21" max="21" width="48" customWidth="1"/>
    <col min="22" max="22" width="52" customWidth="1"/>
  </cols>
  <sheetData>
    <row r="1" ht="22" customHeight="1" spans="1:22">
      <c r="A1" s="1" t="s">
        <v>74</v>
      </c>
    </row>
    <row r="2" spans="1:22">
      <c r="A2" s="2" t="s">
        <v>75</v>
      </c>
    </row>
    <row r="4" ht="32" customHeight="1" spans="1:22">
      <c r="A4" s="3" t="s">
        <v>76</v>
      </c>
      <c r="B4" s="3" t="s">
        <v>77</v>
      </c>
      <c r="C4" s="3" t="s">
        <v>78</v>
      </c>
      <c r="D4" s="3" t="s">
        <v>79</v>
      </c>
      <c r="E4" s="3" t="s">
        <v>80</v>
      </c>
      <c r="F4" s="3" t="s">
        <v>81</v>
      </c>
      <c r="G4" s="3" t="s">
        <v>82</v>
      </c>
      <c r="H4" s="3" t="s">
        <v>83</v>
      </c>
      <c r="I4" s="3" t="s">
        <v>84</v>
      </c>
      <c r="J4" s="3" t="s">
        <v>32</v>
      </c>
      <c r="K4" s="3" t="s">
        <v>85</v>
      </c>
      <c r="L4" s="3" t="s">
        <v>86</v>
      </c>
      <c r="M4" s="3" t="s">
        <v>87</v>
      </c>
      <c r="N4" s="3" t="s">
        <v>88</v>
      </c>
      <c r="O4" s="3" t="s">
        <v>89</v>
      </c>
      <c r="P4" s="3" t="s">
        <v>90</v>
      </c>
      <c r="Q4" s="3" t="s">
        <v>91</v>
      </c>
      <c r="R4" s="3" t="s">
        <v>92</v>
      </c>
      <c r="S4" s="3" t="s">
        <v>93</v>
      </c>
      <c r="T4" s="3" t="s">
        <v>94</v>
      </c>
      <c r="U4" s="3" t="s">
        <v>95</v>
      </c>
      <c r="V4" s="3" t="s">
        <v>96</v>
      </c>
    </row>
    <row r="5" ht="79.2" spans="1:22">
      <c r="A5" s="4">
        <v>1</v>
      </c>
      <c r="B5" s="5" t="s">
        <v>97</v>
      </c>
      <c r="C5" s="5" t="s">
        <v>98</v>
      </c>
      <c r="D5" s="5" t="s">
        <v>99</v>
      </c>
      <c r="E5" s="5" t="s">
        <v>100</v>
      </c>
      <c r="F5" s="5" t="s">
        <v>101</v>
      </c>
      <c r="G5" s="5" t="s">
        <v>102</v>
      </c>
      <c r="H5" s="5" t="s">
        <v>103</v>
      </c>
      <c r="I5" s="5" t="s">
        <v>104</v>
      </c>
      <c r="J5" s="5" t="s">
        <v>105</v>
      </c>
      <c r="K5" s="5" t="s">
        <v>106</v>
      </c>
      <c r="L5" s="5" t="s">
        <v>107</v>
      </c>
      <c r="M5" s="5" t="s">
        <v>108</v>
      </c>
      <c r="N5" s="5" t="s">
        <v>109</v>
      </c>
      <c r="O5" s="5" t="s">
        <v>110</v>
      </c>
      <c r="P5" s="5" t="s">
        <v>111</v>
      </c>
      <c r="Q5" s="5" t="s">
        <v>112</v>
      </c>
      <c r="R5" s="7">
        <v>18900000</v>
      </c>
      <c r="S5" s="5" t="s">
        <v>56</v>
      </c>
      <c r="T5" s="8">
        <v>46321</v>
      </c>
      <c r="U5" s="5" t="s">
        <v>113</v>
      </c>
      <c r="V5" s="6" t="s">
        <v>114</v>
      </c>
    </row>
    <row r="6" ht="79.2" spans="1:22">
      <c r="A6" s="4">
        <v>2</v>
      </c>
      <c r="B6" s="5" t="s">
        <v>115</v>
      </c>
      <c r="C6" s="5" t="s">
        <v>116</v>
      </c>
      <c r="D6" s="5" t="s">
        <v>117</v>
      </c>
      <c r="E6" s="5" t="s">
        <v>118</v>
      </c>
      <c r="F6" s="5" t="s">
        <v>119</v>
      </c>
      <c r="G6" s="5" t="s">
        <v>120</v>
      </c>
      <c r="H6" s="5" t="s">
        <v>121</v>
      </c>
      <c r="I6" s="5" t="s">
        <v>122</v>
      </c>
      <c r="J6" s="5" t="s">
        <v>123</v>
      </c>
      <c r="K6" s="5" t="s">
        <v>124</v>
      </c>
      <c r="L6" s="5" t="s">
        <v>125</v>
      </c>
      <c r="M6" s="5" t="s">
        <v>126</v>
      </c>
      <c r="N6" s="5" t="s">
        <v>127</v>
      </c>
      <c r="O6" s="5" t="s">
        <v>120</v>
      </c>
      <c r="P6" s="5" t="s">
        <v>128</v>
      </c>
      <c r="Q6" s="5" t="s">
        <v>129</v>
      </c>
      <c r="R6" s="7">
        <v>14900000</v>
      </c>
      <c r="S6" s="5" t="s">
        <v>56</v>
      </c>
      <c r="T6" s="8">
        <v>46321</v>
      </c>
      <c r="U6" s="5" t="s">
        <v>130</v>
      </c>
      <c r="V6" s="6" t="s">
        <v>131</v>
      </c>
    </row>
    <row r="7" ht="105.6" spans="1:22">
      <c r="A7" s="4">
        <v>3</v>
      </c>
      <c r="B7" s="5" t="s">
        <v>132</v>
      </c>
      <c r="C7" s="5" t="s">
        <v>133</v>
      </c>
      <c r="D7" s="5" t="s">
        <v>134</v>
      </c>
      <c r="E7" s="5" t="s">
        <v>135</v>
      </c>
      <c r="F7" s="5" t="s">
        <v>136</v>
      </c>
      <c r="G7" s="5" t="s">
        <v>120</v>
      </c>
      <c r="H7" s="5" t="s">
        <v>137</v>
      </c>
      <c r="I7" s="5" t="s">
        <v>138</v>
      </c>
      <c r="J7" s="5" t="s">
        <v>139</v>
      </c>
      <c r="K7" s="5" t="s">
        <v>140</v>
      </c>
      <c r="L7" s="5" t="s">
        <v>141</v>
      </c>
      <c r="M7" s="5" t="s">
        <v>142</v>
      </c>
      <c r="N7" s="5" t="s">
        <v>143</v>
      </c>
      <c r="O7" s="5" t="s">
        <v>120</v>
      </c>
      <c r="P7" s="5" t="s">
        <v>144</v>
      </c>
      <c r="Q7" s="5" t="s">
        <v>145</v>
      </c>
      <c r="R7" s="7">
        <v>26900000</v>
      </c>
      <c r="S7" s="5" t="s">
        <v>146</v>
      </c>
      <c r="T7" s="8">
        <v>46321</v>
      </c>
      <c r="U7" s="5" t="s">
        <v>147</v>
      </c>
      <c r="V7" s="6" t="s">
        <v>148</v>
      </c>
    </row>
  </sheetData>
  <autoFilter xmlns:etc="http://www.wps.cn/officeDocument/2017/etCustomData" ref="A4:V7" etc:filterBottomFollowUsedRange="0">
    <extLst/>
  </autoFilter>
  <pageMargins left="0.75" right="0.75" top="1" bottom="1" header="0.5" footer="0.5"/>
  <pageSetup paperSize="1" fitToWidth="3" fitToHeight="0" orientation="landscape"/>
  <headerFooter>
    <oddFooter>&amp;C&amp;"Arial"&amp;8 Tài liệu nội bộ — Công ty Demo SME — dùng cho mục đích minh hoạ đồ án&amp;R&amp;"Arial"&amp;8 Trang &amp;P/&amp;N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6"/>
  <sheetViews>
    <sheetView workbookViewId="0">
      <pane xSplit="2" ySplit="4" topLeftCell="C5" activePane="bottomRight" state="frozen"/>
      <selection/>
      <selection pane="topRight"/>
      <selection pane="bottomLeft"/>
      <selection pane="bottomRight" activeCell="A1" sqref="A1"/>
    </sheetView>
  </sheetViews>
  <sheetFormatPr defaultColWidth="9" defaultRowHeight="13.2" outlineLevelRow="5"/>
  <cols>
    <col min="1" max="1" width="6" customWidth="1"/>
    <col min="2" max="2" width="24" customWidth="1"/>
    <col min="3" max="4" width="30" customWidth="1"/>
    <col min="5" max="5" width="42" customWidth="1"/>
    <col min="6" max="6" width="60" customWidth="1"/>
    <col min="7" max="7" width="16" customWidth="1"/>
    <col min="8" max="8" width="20" customWidth="1"/>
    <col min="9" max="9" width="13" customWidth="1"/>
    <col min="10" max="10" width="48" customWidth="1"/>
    <col min="11" max="11" width="52" customWidth="1"/>
  </cols>
  <sheetData>
    <row r="1" ht="22" customHeight="1" spans="1:11">
      <c r="A1" s="1" t="s">
        <v>149</v>
      </c>
    </row>
    <row r="2" spans="1:11">
      <c r="A2" s="2" t="s">
        <v>75</v>
      </c>
    </row>
    <row r="4" ht="32" customHeight="1" spans="1:11">
      <c r="A4" s="3" t="s">
        <v>76</v>
      </c>
      <c r="B4" s="3" t="s">
        <v>77</v>
      </c>
      <c r="C4" s="3" t="s">
        <v>78</v>
      </c>
      <c r="D4" s="3" t="s">
        <v>79</v>
      </c>
      <c r="E4" s="3" t="s">
        <v>80</v>
      </c>
      <c r="F4" s="3" t="s">
        <v>150</v>
      </c>
      <c r="G4" s="3" t="s">
        <v>92</v>
      </c>
      <c r="H4" s="3" t="s">
        <v>93</v>
      </c>
      <c r="I4" s="3" t="s">
        <v>94</v>
      </c>
      <c r="J4" s="3" t="s">
        <v>95</v>
      </c>
      <c r="K4" s="3" t="s">
        <v>96</v>
      </c>
    </row>
    <row r="5" ht="211.2" spans="1:11">
      <c r="A5" s="4">
        <v>1</v>
      </c>
      <c r="B5" s="5" t="s">
        <v>151</v>
      </c>
      <c r="C5" s="5" t="s">
        <v>152</v>
      </c>
      <c r="D5" s="5" t="s">
        <v>153</v>
      </c>
      <c r="E5" s="5" t="s">
        <v>154</v>
      </c>
      <c r="F5" s="5" t="s">
        <v>155</v>
      </c>
      <c r="G5" s="7">
        <v>24500000</v>
      </c>
      <c r="H5" s="5" t="s">
        <v>146</v>
      </c>
      <c r="I5" s="8">
        <v>46321</v>
      </c>
      <c r="J5" s="5" t="s">
        <v>156</v>
      </c>
      <c r="K5" s="6" t="s">
        <v>157</v>
      </c>
    </row>
    <row r="6" ht="211.2" spans="1:11">
      <c r="A6" s="4">
        <v>2</v>
      </c>
      <c r="B6" s="5" t="s">
        <v>158</v>
      </c>
      <c r="C6" s="5" t="s">
        <v>159</v>
      </c>
      <c r="D6" s="5" t="s">
        <v>160</v>
      </c>
      <c r="E6" s="5" t="s">
        <v>161</v>
      </c>
      <c r="F6" s="5" t="s">
        <v>162</v>
      </c>
      <c r="G6" s="7">
        <v>8900000</v>
      </c>
      <c r="H6" s="5" t="s">
        <v>146</v>
      </c>
      <c r="I6" s="8">
        <v>46321</v>
      </c>
      <c r="J6" s="5" t="s">
        <v>163</v>
      </c>
      <c r="K6" s="6" t="s">
        <v>164</v>
      </c>
    </row>
  </sheetData>
  <autoFilter xmlns:etc="http://www.wps.cn/officeDocument/2017/etCustomData" ref="A4:K6" etc:filterBottomFollowUsedRange="0">
    <extLst/>
  </autoFilter>
  <pageMargins left="0.75" right="0.75" top="1" bottom="1" header="0.5" footer="0.5"/>
  <pageSetup paperSize="1" fitToWidth="2" fitToHeight="0" orientation="landscape"/>
  <headerFooter>
    <oddFooter>&amp;C&amp;"Arial"&amp;8 Tài liệu nội bộ — Công ty Demo SME — dùng cho mục đích minh hoạ đồ án&amp;R&amp;"Arial"&amp;8 Trang &amp;P/&amp;N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3"/>
  <sheetViews>
    <sheetView workbookViewId="0">
      <pane xSplit="2" ySplit="4" topLeftCell="C5" activePane="bottomRight" state="frozen"/>
      <selection/>
      <selection pane="topRight"/>
      <selection pane="bottomLeft"/>
      <selection pane="bottomRight" activeCell="A1" sqref="A1"/>
    </sheetView>
  </sheetViews>
  <sheetFormatPr defaultColWidth="9" defaultRowHeight="13.2"/>
  <cols>
    <col min="1" max="1" width="6" customWidth="1"/>
    <col min="2" max="2" width="24" customWidth="1"/>
    <col min="3" max="3" width="30" customWidth="1"/>
    <col min="4" max="4" width="16" customWidth="1"/>
    <col min="5" max="5" width="30" customWidth="1"/>
    <col min="6" max="6" width="42" customWidth="1"/>
    <col min="7" max="7" width="60" customWidth="1"/>
    <col min="8" max="8" width="16" customWidth="1"/>
    <col min="9" max="9" width="20" customWidth="1"/>
    <col min="10" max="10" width="13" customWidth="1"/>
    <col min="11" max="11" width="48" customWidth="1"/>
    <col min="12" max="12" width="52" customWidth="1"/>
  </cols>
  <sheetData>
    <row r="1" ht="22" customHeight="1" spans="1:12">
      <c r="A1" s="1" t="s">
        <v>165</v>
      </c>
    </row>
    <row r="2" spans="1:12">
      <c r="A2" s="2" t="s">
        <v>75</v>
      </c>
    </row>
    <row r="3" spans="1:12">
      <c r="A3" s="10" t="s">
        <v>166</v>
      </c>
    </row>
    <row r="4" ht="32" customHeight="1" spans="1:12">
      <c r="A4" s="3" t="s">
        <v>76</v>
      </c>
      <c r="B4" s="3" t="s">
        <v>77</v>
      </c>
      <c r="C4" s="3" t="s">
        <v>78</v>
      </c>
      <c r="D4" s="3" t="s">
        <v>167</v>
      </c>
      <c r="E4" s="3" t="s">
        <v>79</v>
      </c>
      <c r="F4" s="3" t="s">
        <v>80</v>
      </c>
      <c r="G4" s="3" t="s">
        <v>150</v>
      </c>
      <c r="H4" s="3" t="s">
        <v>92</v>
      </c>
      <c r="I4" s="3" t="s">
        <v>93</v>
      </c>
      <c r="J4" s="3" t="s">
        <v>94</v>
      </c>
      <c r="K4" s="3" t="s">
        <v>95</v>
      </c>
      <c r="L4" s="3" t="s">
        <v>96</v>
      </c>
    </row>
    <row r="5" ht="118.8" spans="1:12">
      <c r="A5" s="4">
        <v>1</v>
      </c>
      <c r="B5" s="5" t="s">
        <v>168</v>
      </c>
      <c r="C5" s="5" t="s">
        <v>169</v>
      </c>
      <c r="D5" s="5" t="s">
        <v>81</v>
      </c>
      <c r="E5" s="5" t="s">
        <v>170</v>
      </c>
      <c r="F5" s="5" t="s">
        <v>171</v>
      </c>
      <c r="G5" s="5" t="s">
        <v>172</v>
      </c>
      <c r="H5" s="7">
        <v>7200000</v>
      </c>
      <c r="I5" s="5" t="s">
        <v>56</v>
      </c>
      <c r="J5" s="8">
        <v>46321</v>
      </c>
      <c r="K5" s="5" t="s">
        <v>66</v>
      </c>
      <c r="L5" s="6" t="s">
        <v>173</v>
      </c>
    </row>
    <row r="6" ht="132" spans="1:12">
      <c r="A6" s="4">
        <v>2</v>
      </c>
      <c r="B6" s="5" t="s">
        <v>174</v>
      </c>
      <c r="C6" s="5" t="s">
        <v>175</v>
      </c>
      <c r="D6" s="5" t="s">
        <v>81</v>
      </c>
      <c r="E6" s="5" t="s">
        <v>176</v>
      </c>
      <c r="F6" s="5" t="s">
        <v>177</v>
      </c>
      <c r="G6" s="5" t="s">
        <v>178</v>
      </c>
      <c r="H6" s="7">
        <v>6500000</v>
      </c>
      <c r="I6" s="5" t="s">
        <v>56</v>
      </c>
      <c r="J6" s="8">
        <v>46321</v>
      </c>
      <c r="K6" s="5" t="s">
        <v>66</v>
      </c>
      <c r="L6" s="6" t="s">
        <v>179</v>
      </c>
    </row>
    <row r="7" ht="92.4" spans="1:12">
      <c r="A7" s="4">
        <v>3</v>
      </c>
      <c r="B7" s="5" t="s">
        <v>180</v>
      </c>
      <c r="C7" s="5" t="s">
        <v>181</v>
      </c>
      <c r="D7" s="5" t="s">
        <v>83</v>
      </c>
      <c r="E7" s="5" t="s">
        <v>182</v>
      </c>
      <c r="F7" s="5" t="s">
        <v>183</v>
      </c>
      <c r="G7" s="5" t="s">
        <v>184</v>
      </c>
      <c r="H7" s="7">
        <v>650000</v>
      </c>
      <c r="I7" s="5" t="s">
        <v>56</v>
      </c>
      <c r="J7" s="8">
        <v>46321</v>
      </c>
      <c r="K7" s="5" t="s">
        <v>185</v>
      </c>
      <c r="L7" s="6" t="s">
        <v>186</v>
      </c>
    </row>
    <row r="8" ht="158.4" spans="1:12">
      <c r="A8" s="4">
        <v>4</v>
      </c>
      <c r="B8" s="5" t="s">
        <v>187</v>
      </c>
      <c r="C8" s="5" t="s">
        <v>188</v>
      </c>
      <c r="D8" s="5" t="s">
        <v>189</v>
      </c>
      <c r="E8" s="5" t="s">
        <v>190</v>
      </c>
      <c r="F8" s="5" t="s">
        <v>191</v>
      </c>
      <c r="G8" s="5" t="s">
        <v>192</v>
      </c>
      <c r="H8" s="7">
        <v>14900000</v>
      </c>
      <c r="I8" s="5" t="s">
        <v>56</v>
      </c>
      <c r="J8" s="8">
        <v>46321</v>
      </c>
      <c r="K8" s="5" t="s">
        <v>66</v>
      </c>
      <c r="L8" s="6" t="s">
        <v>193</v>
      </c>
    </row>
    <row r="9" ht="132" spans="1:12">
      <c r="A9" s="4">
        <v>5</v>
      </c>
      <c r="B9" s="5" t="s">
        <v>194</v>
      </c>
      <c r="C9" s="5" t="s">
        <v>195</v>
      </c>
      <c r="D9" s="5" t="s">
        <v>196</v>
      </c>
      <c r="E9" s="5" t="s">
        <v>197</v>
      </c>
      <c r="F9" s="5" t="s">
        <v>198</v>
      </c>
      <c r="G9" s="5" t="s">
        <v>199</v>
      </c>
      <c r="H9" s="7">
        <v>13900000</v>
      </c>
      <c r="I9" s="5" t="s">
        <v>56</v>
      </c>
      <c r="J9" s="8">
        <v>46321</v>
      </c>
      <c r="K9" s="5" t="s">
        <v>66</v>
      </c>
      <c r="L9" s="6" t="s">
        <v>200</v>
      </c>
    </row>
    <row r="10" ht="145.2" spans="1:12">
      <c r="A10" s="4">
        <v>6</v>
      </c>
      <c r="B10" s="5" t="s">
        <v>201</v>
      </c>
      <c r="C10" s="5" t="s">
        <v>202</v>
      </c>
      <c r="D10" s="5" t="s">
        <v>203</v>
      </c>
      <c r="E10" s="5" t="s">
        <v>204</v>
      </c>
      <c r="F10" s="5" t="s">
        <v>205</v>
      </c>
      <c r="G10" s="5" t="s">
        <v>206</v>
      </c>
      <c r="H10" s="7">
        <v>4500000</v>
      </c>
      <c r="I10" s="5" t="s">
        <v>56</v>
      </c>
      <c r="J10" s="8">
        <v>46321</v>
      </c>
      <c r="K10" s="5" t="s">
        <v>66</v>
      </c>
      <c r="L10" s="6" t="s">
        <v>207</v>
      </c>
    </row>
    <row r="11" ht="145.2" spans="1:12">
      <c r="A11" s="4">
        <v>7</v>
      </c>
      <c r="B11" s="5" t="s">
        <v>208</v>
      </c>
      <c r="C11" s="5" t="s">
        <v>209</v>
      </c>
      <c r="D11" s="5" t="s">
        <v>96</v>
      </c>
      <c r="E11" s="5" t="s">
        <v>210</v>
      </c>
      <c r="F11" s="5" t="s">
        <v>211</v>
      </c>
      <c r="G11" s="5" t="s">
        <v>212</v>
      </c>
      <c r="H11" s="7">
        <v>1850000</v>
      </c>
      <c r="I11" s="5" t="s">
        <v>56</v>
      </c>
      <c r="J11" s="8">
        <v>46321</v>
      </c>
      <c r="K11" s="5" t="s">
        <v>213</v>
      </c>
      <c r="L11" s="6" t="s">
        <v>214</v>
      </c>
    </row>
    <row r="12" ht="145.2" spans="1:12">
      <c r="A12" s="4">
        <v>8</v>
      </c>
      <c r="B12" s="5" t="s">
        <v>215</v>
      </c>
      <c r="C12" s="5" t="s">
        <v>216</v>
      </c>
      <c r="D12" s="5" t="s">
        <v>217</v>
      </c>
      <c r="E12" s="5" t="s">
        <v>218</v>
      </c>
      <c r="F12" s="5" t="s">
        <v>219</v>
      </c>
      <c r="G12" s="5" t="s">
        <v>220</v>
      </c>
      <c r="H12" s="7">
        <v>2100000</v>
      </c>
      <c r="I12" s="9" t="s">
        <v>58</v>
      </c>
      <c r="J12" s="8">
        <v>46321</v>
      </c>
      <c r="K12" s="5" t="s">
        <v>221</v>
      </c>
      <c r="L12" s="6" t="s">
        <v>222</v>
      </c>
    </row>
    <row r="13" ht="145.2" spans="1:12">
      <c r="A13" s="4">
        <v>9</v>
      </c>
      <c r="B13" s="5" t="s">
        <v>223</v>
      </c>
      <c r="C13" s="5" t="s">
        <v>224</v>
      </c>
      <c r="D13" s="5" t="s">
        <v>225</v>
      </c>
      <c r="E13" s="5" t="s">
        <v>226</v>
      </c>
      <c r="F13" s="5" t="s">
        <v>227</v>
      </c>
      <c r="G13" s="5" t="s">
        <v>228</v>
      </c>
      <c r="H13" s="7">
        <v>450000</v>
      </c>
      <c r="I13" s="5" t="s">
        <v>56</v>
      </c>
      <c r="J13" s="8">
        <v>46321</v>
      </c>
      <c r="K13" s="5" t="s">
        <v>229</v>
      </c>
      <c r="L13" s="6" t="s">
        <v>230</v>
      </c>
    </row>
  </sheetData>
  <autoFilter xmlns:etc="http://www.wps.cn/officeDocument/2017/etCustomData" ref="A4:L13" etc:filterBottomFollowUsedRange="0">
    <extLst/>
  </autoFilter>
  <pageMargins left="0.75" right="0.75" top="1" bottom="1" header="0.5" footer="0.5"/>
  <pageSetup paperSize="1" fitToWidth="2" fitToHeight="0" orientation="landscape"/>
  <headerFooter>
    <oddFooter>&amp;C&amp;"Arial"&amp;8 Tài liệu nội bộ — Công ty Demo SME — dùng cho mục đích minh hoạ đồ án&amp;R&amp;"Arial"&amp;8 Trang &amp;P/&amp;N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W6"/>
  <sheetViews>
    <sheetView workbookViewId="0">
      <pane xSplit="2" ySplit="4" topLeftCell="C5" activePane="bottomRight" state="frozen"/>
      <selection/>
      <selection pane="topRight"/>
      <selection pane="bottomLeft"/>
      <selection pane="bottomRight" activeCell="A1" sqref="A1"/>
    </sheetView>
  </sheetViews>
  <sheetFormatPr defaultColWidth="9" defaultRowHeight="13.2" outlineLevelRow="5"/>
  <cols>
    <col min="1" max="1" width="6" customWidth="1"/>
    <col min="2" max="2" width="24" customWidth="1"/>
    <col min="3" max="4" width="30" customWidth="1"/>
    <col min="5" max="5" width="42" customWidth="1"/>
    <col min="6" max="18" width="22" customWidth="1"/>
    <col min="19" max="19" width="16" customWidth="1"/>
    <col min="20" max="20" width="20" customWidth="1"/>
    <col min="21" max="21" width="13" customWidth="1"/>
    <col min="22" max="22" width="48" customWidth="1"/>
    <col min="23" max="23" width="52" customWidth="1"/>
  </cols>
  <sheetData>
    <row r="1" ht="22" customHeight="1" spans="1:23">
      <c r="A1" s="1" t="s">
        <v>231</v>
      </c>
    </row>
    <row r="2" spans="1:23">
      <c r="A2" s="2" t="s">
        <v>75</v>
      </c>
    </row>
    <row r="4" ht="32" customHeight="1" spans="1:23">
      <c r="A4" s="3" t="s">
        <v>76</v>
      </c>
      <c r="B4" s="3" t="s">
        <v>77</v>
      </c>
      <c r="C4" s="3" t="s">
        <v>78</v>
      </c>
      <c r="D4" s="3" t="s">
        <v>79</v>
      </c>
      <c r="E4" s="3" t="s">
        <v>80</v>
      </c>
      <c r="F4" s="3" t="s">
        <v>232</v>
      </c>
      <c r="G4" s="3" t="s">
        <v>233</v>
      </c>
      <c r="H4" s="3" t="s">
        <v>234</v>
      </c>
      <c r="I4" s="3" t="s">
        <v>235</v>
      </c>
      <c r="J4" s="3" t="s">
        <v>236</v>
      </c>
      <c r="K4" s="3" t="s">
        <v>237</v>
      </c>
      <c r="L4" s="3" t="s">
        <v>238</v>
      </c>
      <c r="M4" s="3" t="s">
        <v>239</v>
      </c>
      <c r="N4" s="3" t="s">
        <v>240</v>
      </c>
      <c r="O4" s="3" t="s">
        <v>241</v>
      </c>
      <c r="P4" s="3" t="s">
        <v>242</v>
      </c>
      <c r="Q4" s="3" t="s">
        <v>243</v>
      </c>
      <c r="R4" s="3" t="s">
        <v>91</v>
      </c>
      <c r="S4" s="3" t="s">
        <v>92</v>
      </c>
      <c r="T4" s="3" t="s">
        <v>93</v>
      </c>
      <c r="U4" s="3" t="s">
        <v>94</v>
      </c>
      <c r="V4" s="3" t="s">
        <v>95</v>
      </c>
      <c r="W4" s="3" t="s">
        <v>96</v>
      </c>
    </row>
    <row r="5" ht="145.2" spans="1:23">
      <c r="A5" s="4">
        <v>1</v>
      </c>
      <c r="B5" s="5" t="s">
        <v>244</v>
      </c>
      <c r="C5" s="5" t="s">
        <v>245</v>
      </c>
      <c r="D5" s="5" t="s">
        <v>246</v>
      </c>
      <c r="E5" s="5" t="s">
        <v>247</v>
      </c>
      <c r="F5" s="5" t="s">
        <v>248</v>
      </c>
      <c r="G5" s="5" t="s">
        <v>249</v>
      </c>
      <c r="H5" s="5" t="s">
        <v>250</v>
      </c>
      <c r="I5" s="5" t="s">
        <v>251</v>
      </c>
      <c r="J5" s="5" t="s">
        <v>252</v>
      </c>
      <c r="K5" s="5" t="s">
        <v>253</v>
      </c>
      <c r="L5" s="5" t="s">
        <v>254</v>
      </c>
      <c r="M5" s="5" t="s">
        <v>255</v>
      </c>
      <c r="N5" s="5" t="s">
        <v>256</v>
      </c>
      <c r="O5" s="5" t="s">
        <v>257</v>
      </c>
      <c r="P5" s="5" t="s">
        <v>258</v>
      </c>
      <c r="Q5" s="5" t="s">
        <v>120</v>
      </c>
      <c r="R5" s="5" t="s">
        <v>120</v>
      </c>
      <c r="S5" s="7">
        <v>7900000</v>
      </c>
      <c r="T5" s="9" t="s">
        <v>58</v>
      </c>
      <c r="U5" s="8">
        <v>46321</v>
      </c>
      <c r="V5" s="5" t="s">
        <v>259</v>
      </c>
      <c r="W5" s="6" t="s">
        <v>260</v>
      </c>
    </row>
    <row r="6" ht="68.4" spans="1:23">
      <c r="A6" s="4">
        <v>2</v>
      </c>
      <c r="B6" s="5" t="s">
        <v>261</v>
      </c>
      <c r="C6" s="5" t="s">
        <v>262</v>
      </c>
      <c r="D6" s="5" t="s">
        <v>263</v>
      </c>
      <c r="E6" s="5" t="s">
        <v>264</v>
      </c>
      <c r="F6" s="5" t="s">
        <v>265</v>
      </c>
      <c r="G6" s="5" t="s">
        <v>266</v>
      </c>
      <c r="H6" s="5" t="s">
        <v>267</v>
      </c>
      <c r="I6" s="5" t="s">
        <v>268</v>
      </c>
      <c r="J6" s="5" t="s">
        <v>269</v>
      </c>
      <c r="K6" s="5" t="s">
        <v>270</v>
      </c>
      <c r="L6" s="5" t="s">
        <v>271</v>
      </c>
      <c r="M6" s="5" t="s">
        <v>120</v>
      </c>
      <c r="N6" s="5" t="s">
        <v>272</v>
      </c>
      <c r="O6" s="5" t="s">
        <v>120</v>
      </c>
      <c r="P6" s="5" t="s">
        <v>120</v>
      </c>
      <c r="Q6" s="5" t="s">
        <v>273</v>
      </c>
      <c r="R6" s="5" t="s">
        <v>274</v>
      </c>
      <c r="S6" s="7">
        <v>1990000</v>
      </c>
      <c r="T6" s="5" t="s">
        <v>56</v>
      </c>
      <c r="U6" s="8">
        <v>46321</v>
      </c>
      <c r="V6" s="5" t="s">
        <v>275</v>
      </c>
      <c r="W6" s="6" t="s">
        <v>276</v>
      </c>
    </row>
  </sheetData>
  <autoFilter xmlns:etc="http://www.wps.cn/officeDocument/2017/etCustomData" ref="A4:W6" etc:filterBottomFollowUsedRange="0">
    <extLst/>
  </autoFilter>
  <pageMargins left="0.75" right="0.75" top="1" bottom="1" header="0.5" footer="0.5"/>
  <pageSetup paperSize="1" fitToWidth="3" fitToHeight="0" orientation="landscape"/>
  <headerFooter>
    <oddFooter>&amp;C&amp;"Arial"&amp;8 Tài liệu nội bộ — Công ty Demo SME — dùng cho mục đích minh hoạ đồ án&amp;R&amp;"Arial"&amp;8 Trang &amp;P/&amp;N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
  <sheetViews>
    <sheetView workbookViewId="0">
      <pane xSplit="2" ySplit="4" topLeftCell="C5" activePane="bottomRight" state="frozen"/>
      <selection/>
      <selection pane="topRight"/>
      <selection pane="bottomLeft"/>
      <selection pane="bottomRight" activeCell="A1" sqref="A1"/>
    </sheetView>
  </sheetViews>
  <sheetFormatPr defaultColWidth="9" defaultRowHeight="13.2" outlineLevelRow="6"/>
  <cols>
    <col min="1" max="1" width="6" customWidth="1"/>
    <col min="2" max="2" width="24" customWidth="1"/>
    <col min="3" max="4" width="30" customWidth="1"/>
    <col min="5" max="5" width="42" customWidth="1"/>
    <col min="6" max="6" width="60" customWidth="1"/>
    <col min="7" max="7" width="16" customWidth="1"/>
    <col min="8" max="8" width="20" customWidth="1"/>
    <col min="9" max="9" width="13" customWidth="1"/>
    <col min="10" max="10" width="48" customWidth="1"/>
    <col min="11" max="11" width="52" customWidth="1"/>
  </cols>
  <sheetData>
    <row r="1" ht="22" customHeight="1" spans="1:11">
      <c r="A1" s="1" t="s">
        <v>277</v>
      </c>
    </row>
    <row r="2" spans="1:11">
      <c r="A2" s="2" t="s">
        <v>75</v>
      </c>
    </row>
    <row r="4" ht="32" customHeight="1" spans="1:11">
      <c r="A4" s="3" t="s">
        <v>76</v>
      </c>
      <c r="B4" s="3" t="s">
        <v>77</v>
      </c>
      <c r="C4" s="3" t="s">
        <v>78</v>
      </c>
      <c r="D4" s="3" t="s">
        <v>79</v>
      </c>
      <c r="E4" s="3" t="s">
        <v>80</v>
      </c>
      <c r="F4" s="3" t="s">
        <v>150</v>
      </c>
      <c r="G4" s="3" t="s">
        <v>92</v>
      </c>
      <c r="H4" s="3" t="s">
        <v>93</v>
      </c>
      <c r="I4" s="3" t="s">
        <v>94</v>
      </c>
      <c r="J4" s="3" t="s">
        <v>95</v>
      </c>
      <c r="K4" s="3" t="s">
        <v>96</v>
      </c>
    </row>
    <row r="5" ht="118.8" spans="1:11">
      <c r="A5" s="4">
        <v>1</v>
      </c>
      <c r="B5" s="5" t="s">
        <v>278</v>
      </c>
      <c r="C5" s="5" t="s">
        <v>279</v>
      </c>
      <c r="D5" s="5" t="s">
        <v>280</v>
      </c>
      <c r="E5" s="5" t="s">
        <v>281</v>
      </c>
      <c r="F5" s="5" t="s">
        <v>282</v>
      </c>
      <c r="G5" s="7">
        <v>1890000</v>
      </c>
      <c r="H5" s="5" t="s">
        <v>146</v>
      </c>
      <c r="I5" s="8">
        <v>46321</v>
      </c>
      <c r="J5" s="5" t="s">
        <v>283</v>
      </c>
      <c r="K5" s="6" t="s">
        <v>284</v>
      </c>
    </row>
    <row r="6" ht="145.2" spans="1:11">
      <c r="A6" s="4">
        <v>2</v>
      </c>
      <c r="B6" s="5" t="s">
        <v>285</v>
      </c>
      <c r="C6" s="5" t="s">
        <v>286</v>
      </c>
      <c r="D6" s="5" t="s">
        <v>287</v>
      </c>
      <c r="E6" s="5" t="s">
        <v>288</v>
      </c>
      <c r="F6" s="5" t="s">
        <v>289</v>
      </c>
      <c r="G6" s="7">
        <v>450000</v>
      </c>
      <c r="H6" s="5" t="s">
        <v>146</v>
      </c>
      <c r="I6" s="8">
        <v>46321</v>
      </c>
      <c r="J6" s="5" t="s">
        <v>290</v>
      </c>
      <c r="K6" s="6" t="s">
        <v>291</v>
      </c>
    </row>
    <row r="7" ht="118.8" spans="1:11">
      <c r="A7" s="4">
        <v>3</v>
      </c>
      <c r="B7" s="5" t="s">
        <v>292</v>
      </c>
      <c r="C7" s="5" t="s">
        <v>293</v>
      </c>
      <c r="D7" s="5" t="s">
        <v>294</v>
      </c>
      <c r="E7" s="5" t="s">
        <v>295</v>
      </c>
      <c r="F7" s="5" t="s">
        <v>296</v>
      </c>
      <c r="G7" s="7">
        <v>1450000</v>
      </c>
      <c r="H7" s="5" t="s">
        <v>146</v>
      </c>
      <c r="I7" s="8">
        <v>46321</v>
      </c>
      <c r="J7" s="5" t="s">
        <v>297</v>
      </c>
      <c r="K7" s="6" t="s">
        <v>298</v>
      </c>
    </row>
  </sheetData>
  <autoFilter xmlns:etc="http://www.wps.cn/officeDocument/2017/etCustomData" ref="A4:K7" etc:filterBottomFollowUsedRange="0">
    <extLst/>
  </autoFilter>
  <pageMargins left="0.75" right="0.75" top="1" bottom="1" header="0.5" footer="0.5"/>
  <pageSetup paperSize="1" fitToWidth="2" fitToHeight="0" orientation="landscape"/>
  <headerFooter>
    <oddFooter>&amp;C&amp;"Arial"&amp;8 Tài liệu nội bộ — Công ty Demo SME — dùng cho mục đích minh hoạ đồ án&amp;R&amp;"Arial"&amp;8 Trang &amp;P/&amp;N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175"/>
  <sheetViews>
    <sheetView workbookViewId="0">
      <pane xSplit="2" ySplit="4" topLeftCell="C5" activePane="bottomRight" state="frozen"/>
      <selection/>
      <selection pane="topRight"/>
      <selection pane="bottomLeft"/>
      <selection pane="bottomRight" activeCell="A1" sqref="A1"/>
    </sheetView>
  </sheetViews>
  <sheetFormatPr defaultColWidth="9" defaultRowHeight="13.2"/>
  <cols>
    <col min="1" max="1" width="6" customWidth="1"/>
    <col min="2" max="2" width="26" customWidth="1"/>
    <col min="3" max="3" width="14" customWidth="1"/>
    <col min="4" max="4" width="30" customWidth="1"/>
    <col min="5" max="5" width="22" customWidth="1"/>
    <col min="6" max="6" width="50" customWidth="1"/>
    <col min="7" max="7" width="9" customWidth="1"/>
    <col min="8" max="8" width="46" customWidth="1"/>
    <col min="9" max="10" width="40" customWidth="1"/>
  </cols>
  <sheetData>
    <row r="1" ht="22" customHeight="1" spans="1:10">
      <c r="A1" s="1" t="s">
        <v>299</v>
      </c>
    </row>
    <row r="2" spans="1:10">
      <c r="A2" s="2" t="s">
        <v>300</v>
      </c>
    </row>
    <row r="4" ht="32" customHeight="1" spans="1:10">
      <c r="A4" s="3" t="s">
        <v>76</v>
      </c>
      <c r="B4" s="3" t="s">
        <v>77</v>
      </c>
      <c r="C4" s="3" t="s">
        <v>53</v>
      </c>
      <c r="D4" s="3" t="s">
        <v>79</v>
      </c>
      <c r="E4" s="3" t="s">
        <v>301</v>
      </c>
      <c r="F4" s="3" t="s">
        <v>302</v>
      </c>
      <c r="G4" s="3" t="s">
        <v>5</v>
      </c>
      <c r="H4" s="3" t="s">
        <v>303</v>
      </c>
      <c r="I4" s="3" t="s">
        <v>304</v>
      </c>
      <c r="J4" s="3" t="s">
        <v>305</v>
      </c>
    </row>
    <row r="5" ht="39.6" spans="1:10">
      <c r="A5" s="4">
        <v>1</v>
      </c>
      <c r="B5" s="5" t="s">
        <v>97</v>
      </c>
      <c r="C5" s="5" t="s">
        <v>26</v>
      </c>
      <c r="D5" s="5" t="s">
        <v>99</v>
      </c>
      <c r="E5" s="5" t="s">
        <v>81</v>
      </c>
      <c r="F5" s="5" t="s">
        <v>101</v>
      </c>
      <c r="G5" s="4" t="s">
        <v>66</v>
      </c>
      <c r="H5" s="6" t="s">
        <v>306</v>
      </c>
      <c r="I5" s="6" t="s">
        <v>66</v>
      </c>
      <c r="J5" s="5" t="s">
        <v>307</v>
      </c>
    </row>
    <row r="6" spans="1:10">
      <c r="A6" s="4">
        <v>2</v>
      </c>
      <c r="B6" s="5" t="s">
        <v>97</v>
      </c>
      <c r="C6" s="5" t="s">
        <v>26</v>
      </c>
      <c r="D6" s="5" t="s">
        <v>99</v>
      </c>
      <c r="E6" s="5" t="s">
        <v>82</v>
      </c>
      <c r="F6" s="5" t="s">
        <v>102</v>
      </c>
      <c r="G6" s="4" t="s">
        <v>66</v>
      </c>
      <c r="H6" s="6" t="s">
        <v>306</v>
      </c>
      <c r="I6" s="6" t="s">
        <v>66</v>
      </c>
      <c r="J6" s="5" t="s">
        <v>66</v>
      </c>
    </row>
    <row r="7" ht="22.8" spans="1:10">
      <c r="A7" s="4">
        <v>3</v>
      </c>
      <c r="B7" s="5" t="s">
        <v>97</v>
      </c>
      <c r="C7" s="5" t="s">
        <v>26</v>
      </c>
      <c r="D7" s="5" t="s">
        <v>99</v>
      </c>
      <c r="E7" s="5" t="s">
        <v>83</v>
      </c>
      <c r="F7" s="5" t="s">
        <v>103</v>
      </c>
      <c r="G7" s="4" t="s">
        <v>308</v>
      </c>
      <c r="H7" s="6" t="s">
        <v>309</v>
      </c>
      <c r="I7" s="6" t="s">
        <v>306</v>
      </c>
      <c r="J7" s="5" t="s">
        <v>310</v>
      </c>
    </row>
    <row r="8" ht="39.6" spans="1:10">
      <c r="A8" s="4">
        <v>4</v>
      </c>
      <c r="B8" s="5" t="s">
        <v>97</v>
      </c>
      <c r="C8" s="5" t="s">
        <v>26</v>
      </c>
      <c r="D8" s="5" t="s">
        <v>99</v>
      </c>
      <c r="E8" s="5" t="s">
        <v>84</v>
      </c>
      <c r="F8" s="5" t="s">
        <v>104</v>
      </c>
      <c r="G8" s="4" t="s">
        <v>308</v>
      </c>
      <c r="H8" s="6" t="s">
        <v>306</v>
      </c>
      <c r="I8" s="6" t="s">
        <v>66</v>
      </c>
      <c r="J8" s="5" t="s">
        <v>311</v>
      </c>
    </row>
    <row r="9" spans="1:10">
      <c r="A9" s="4">
        <v>5</v>
      </c>
      <c r="B9" s="5" t="s">
        <v>97</v>
      </c>
      <c r="C9" s="5" t="s">
        <v>26</v>
      </c>
      <c r="D9" s="5" t="s">
        <v>99</v>
      </c>
      <c r="E9" s="5" t="s">
        <v>32</v>
      </c>
      <c r="F9" s="5" t="s">
        <v>105</v>
      </c>
      <c r="G9" s="4" t="s">
        <v>312</v>
      </c>
      <c r="H9" s="6" t="s">
        <v>306</v>
      </c>
      <c r="I9" s="6" t="s">
        <v>66</v>
      </c>
      <c r="J9" s="5" t="s">
        <v>66</v>
      </c>
    </row>
    <row r="10" spans="1:10">
      <c r="A10" s="4">
        <v>6</v>
      </c>
      <c r="B10" s="5" t="s">
        <v>97</v>
      </c>
      <c r="C10" s="5" t="s">
        <v>26</v>
      </c>
      <c r="D10" s="5" t="s">
        <v>99</v>
      </c>
      <c r="E10" s="5" t="s">
        <v>85</v>
      </c>
      <c r="F10" s="5" t="s">
        <v>106</v>
      </c>
      <c r="G10" s="4" t="s">
        <v>66</v>
      </c>
      <c r="H10" s="6" t="s">
        <v>306</v>
      </c>
      <c r="I10" s="6" t="s">
        <v>66</v>
      </c>
      <c r="J10" s="5" t="s">
        <v>66</v>
      </c>
    </row>
    <row r="11" ht="39.6" spans="1:10">
      <c r="A11" s="4">
        <v>7</v>
      </c>
      <c r="B11" s="5" t="s">
        <v>97</v>
      </c>
      <c r="C11" s="5" t="s">
        <v>26</v>
      </c>
      <c r="D11" s="5" t="s">
        <v>99</v>
      </c>
      <c r="E11" s="5" t="s">
        <v>86</v>
      </c>
      <c r="F11" s="5" t="s">
        <v>313</v>
      </c>
      <c r="G11" s="4" t="s">
        <v>314</v>
      </c>
      <c r="H11" s="6" t="s">
        <v>306</v>
      </c>
      <c r="I11" s="6" t="s">
        <v>66</v>
      </c>
      <c r="J11" s="5" t="s">
        <v>315</v>
      </c>
    </row>
    <row r="12" spans="1:10">
      <c r="A12" s="4">
        <v>8</v>
      </c>
      <c r="B12" s="5" t="s">
        <v>97</v>
      </c>
      <c r="C12" s="5" t="s">
        <v>26</v>
      </c>
      <c r="D12" s="5" t="s">
        <v>99</v>
      </c>
      <c r="E12" s="5" t="s">
        <v>87</v>
      </c>
      <c r="F12" s="5" t="s">
        <v>108</v>
      </c>
      <c r="G12" s="4" t="s">
        <v>316</v>
      </c>
      <c r="H12" s="6" t="s">
        <v>306</v>
      </c>
      <c r="I12" s="6" t="s">
        <v>66</v>
      </c>
      <c r="J12" s="5" t="s">
        <v>66</v>
      </c>
    </row>
    <row r="13" ht="26.4" spans="1:10">
      <c r="A13" s="4">
        <v>9</v>
      </c>
      <c r="B13" s="5" t="s">
        <v>97</v>
      </c>
      <c r="C13" s="5" t="s">
        <v>26</v>
      </c>
      <c r="D13" s="5" t="s">
        <v>99</v>
      </c>
      <c r="E13" s="5" t="s">
        <v>88</v>
      </c>
      <c r="F13" s="5" t="s">
        <v>109</v>
      </c>
      <c r="G13" s="4" t="s">
        <v>66</v>
      </c>
      <c r="H13" s="6" t="s">
        <v>306</v>
      </c>
      <c r="I13" s="6" t="s">
        <v>66</v>
      </c>
      <c r="J13" s="5" t="s">
        <v>66</v>
      </c>
    </row>
    <row r="14" spans="1:10">
      <c r="A14" s="4">
        <v>10</v>
      </c>
      <c r="B14" s="5" t="s">
        <v>97</v>
      </c>
      <c r="C14" s="5" t="s">
        <v>26</v>
      </c>
      <c r="D14" s="5" t="s">
        <v>99</v>
      </c>
      <c r="E14" s="5" t="s">
        <v>89</v>
      </c>
      <c r="F14" s="5" t="s">
        <v>110</v>
      </c>
      <c r="G14" s="4" t="s">
        <v>66</v>
      </c>
      <c r="H14" s="6" t="s">
        <v>306</v>
      </c>
      <c r="I14" s="6" t="s">
        <v>66</v>
      </c>
      <c r="J14" s="5" t="s">
        <v>66</v>
      </c>
    </row>
    <row r="15" ht="22.8" spans="1:10">
      <c r="A15" s="4">
        <v>11</v>
      </c>
      <c r="B15" s="5" t="s">
        <v>97</v>
      </c>
      <c r="C15" s="5" t="s">
        <v>26</v>
      </c>
      <c r="D15" s="5" t="s">
        <v>99</v>
      </c>
      <c r="E15" s="5" t="s">
        <v>90</v>
      </c>
      <c r="F15" s="5" t="s">
        <v>111</v>
      </c>
      <c r="G15" s="4" t="s">
        <v>66</v>
      </c>
      <c r="H15" s="6" t="s">
        <v>309</v>
      </c>
      <c r="I15" s="6" t="s">
        <v>66</v>
      </c>
      <c r="J15" s="5" t="s">
        <v>66</v>
      </c>
    </row>
    <row r="16" spans="1:10">
      <c r="A16" s="4">
        <v>12</v>
      </c>
      <c r="B16" s="5" t="s">
        <v>97</v>
      </c>
      <c r="C16" s="5" t="s">
        <v>26</v>
      </c>
      <c r="D16" s="5" t="s">
        <v>99</v>
      </c>
      <c r="E16" s="5" t="s">
        <v>91</v>
      </c>
      <c r="F16" s="5" t="s">
        <v>112</v>
      </c>
      <c r="G16" s="4" t="s">
        <v>66</v>
      </c>
      <c r="H16" s="6" t="s">
        <v>306</v>
      </c>
      <c r="I16" s="6" t="s">
        <v>66</v>
      </c>
      <c r="J16" s="5" t="s">
        <v>66</v>
      </c>
    </row>
    <row r="17" ht="26.4" spans="1:10">
      <c r="A17" s="4">
        <v>13</v>
      </c>
      <c r="B17" s="5" t="s">
        <v>115</v>
      </c>
      <c r="C17" s="5" t="s">
        <v>26</v>
      </c>
      <c r="D17" s="5" t="s">
        <v>117</v>
      </c>
      <c r="E17" s="5" t="s">
        <v>81</v>
      </c>
      <c r="F17" s="5" t="s">
        <v>119</v>
      </c>
      <c r="G17" s="4" t="s">
        <v>66</v>
      </c>
      <c r="H17" s="6" t="s">
        <v>317</v>
      </c>
      <c r="I17" s="6" t="s">
        <v>66</v>
      </c>
      <c r="J17" s="5" t="s">
        <v>66</v>
      </c>
    </row>
    <row r="18" ht="26.4" spans="1:10">
      <c r="A18" s="4">
        <v>14</v>
      </c>
      <c r="B18" s="5" t="s">
        <v>115</v>
      </c>
      <c r="C18" s="5" t="s">
        <v>26</v>
      </c>
      <c r="D18" s="5" t="s">
        <v>117</v>
      </c>
      <c r="E18" s="5" t="s">
        <v>83</v>
      </c>
      <c r="F18" s="5" t="s">
        <v>121</v>
      </c>
      <c r="G18" s="4" t="s">
        <v>308</v>
      </c>
      <c r="H18" s="6" t="s">
        <v>317</v>
      </c>
      <c r="I18" s="6" t="s">
        <v>66</v>
      </c>
      <c r="J18" s="5" t="s">
        <v>66</v>
      </c>
    </row>
    <row r="19" ht="26.4" spans="1:10">
      <c r="A19" s="4">
        <v>15</v>
      </c>
      <c r="B19" s="5" t="s">
        <v>115</v>
      </c>
      <c r="C19" s="5" t="s">
        <v>26</v>
      </c>
      <c r="D19" s="5" t="s">
        <v>117</v>
      </c>
      <c r="E19" s="5" t="s">
        <v>84</v>
      </c>
      <c r="F19" s="5" t="s">
        <v>122</v>
      </c>
      <c r="G19" s="4" t="s">
        <v>66</v>
      </c>
      <c r="H19" s="6" t="s">
        <v>317</v>
      </c>
      <c r="I19" s="6" t="s">
        <v>66</v>
      </c>
      <c r="J19" s="5" t="s">
        <v>66</v>
      </c>
    </row>
    <row r="20" ht="39.6" spans="1:10">
      <c r="A20" s="4">
        <v>16</v>
      </c>
      <c r="B20" s="5" t="s">
        <v>115</v>
      </c>
      <c r="C20" s="5" t="s">
        <v>26</v>
      </c>
      <c r="D20" s="5" t="s">
        <v>117</v>
      </c>
      <c r="E20" s="5" t="s">
        <v>32</v>
      </c>
      <c r="F20" s="5" t="s">
        <v>123</v>
      </c>
      <c r="G20" s="4" t="s">
        <v>312</v>
      </c>
      <c r="H20" s="6" t="s">
        <v>317</v>
      </c>
      <c r="I20" s="6" t="s">
        <v>66</v>
      </c>
      <c r="J20" s="5" t="s">
        <v>318</v>
      </c>
    </row>
    <row r="21" ht="26.4" spans="1:10">
      <c r="A21" s="4">
        <v>17</v>
      </c>
      <c r="B21" s="5" t="s">
        <v>115</v>
      </c>
      <c r="C21" s="5" t="s">
        <v>26</v>
      </c>
      <c r="D21" s="5" t="s">
        <v>117</v>
      </c>
      <c r="E21" s="5" t="s">
        <v>85</v>
      </c>
      <c r="F21" s="5" t="s">
        <v>124</v>
      </c>
      <c r="G21" s="4" t="s">
        <v>66</v>
      </c>
      <c r="H21" s="6" t="s">
        <v>317</v>
      </c>
      <c r="I21" s="6" t="s">
        <v>66</v>
      </c>
      <c r="J21" s="5" t="s">
        <v>319</v>
      </c>
    </row>
    <row r="22" ht="26.4" spans="1:10">
      <c r="A22" s="4">
        <v>18</v>
      </c>
      <c r="B22" s="5" t="s">
        <v>115</v>
      </c>
      <c r="C22" s="5" t="s">
        <v>26</v>
      </c>
      <c r="D22" s="5" t="s">
        <v>117</v>
      </c>
      <c r="E22" s="5" t="s">
        <v>86</v>
      </c>
      <c r="F22" s="5" t="s">
        <v>320</v>
      </c>
      <c r="G22" s="4" t="s">
        <v>314</v>
      </c>
      <c r="H22" s="6" t="s">
        <v>317</v>
      </c>
      <c r="I22" s="6" t="s">
        <v>66</v>
      </c>
      <c r="J22" s="5" t="s">
        <v>66</v>
      </c>
    </row>
    <row r="23" ht="39.6" spans="1:10">
      <c r="A23" s="4">
        <v>19</v>
      </c>
      <c r="B23" s="5" t="s">
        <v>115</v>
      </c>
      <c r="C23" s="5" t="s">
        <v>26</v>
      </c>
      <c r="D23" s="5" t="s">
        <v>117</v>
      </c>
      <c r="E23" s="5" t="s">
        <v>87</v>
      </c>
      <c r="F23" s="5" t="s">
        <v>126</v>
      </c>
      <c r="G23" s="4" t="s">
        <v>316</v>
      </c>
      <c r="H23" s="6" t="s">
        <v>317</v>
      </c>
      <c r="I23" s="6" t="s">
        <v>66</v>
      </c>
      <c r="J23" s="5" t="s">
        <v>66</v>
      </c>
    </row>
    <row r="24" ht="26.4" spans="1:10">
      <c r="A24" s="4">
        <v>20</v>
      </c>
      <c r="B24" s="5" t="s">
        <v>115</v>
      </c>
      <c r="C24" s="5" t="s">
        <v>26</v>
      </c>
      <c r="D24" s="5" t="s">
        <v>117</v>
      </c>
      <c r="E24" s="5" t="s">
        <v>88</v>
      </c>
      <c r="F24" s="5" t="s">
        <v>127</v>
      </c>
      <c r="G24" s="4" t="s">
        <v>66</v>
      </c>
      <c r="H24" s="6" t="s">
        <v>317</v>
      </c>
      <c r="I24" s="6" t="s">
        <v>66</v>
      </c>
      <c r="J24" s="5" t="s">
        <v>66</v>
      </c>
    </row>
    <row r="25" ht="26.4" spans="1:10">
      <c r="A25" s="4">
        <v>21</v>
      </c>
      <c r="B25" s="5" t="s">
        <v>115</v>
      </c>
      <c r="C25" s="5" t="s">
        <v>26</v>
      </c>
      <c r="D25" s="5" t="s">
        <v>117</v>
      </c>
      <c r="E25" s="5" t="s">
        <v>90</v>
      </c>
      <c r="F25" s="5" t="s">
        <v>128</v>
      </c>
      <c r="G25" s="4" t="s">
        <v>66</v>
      </c>
      <c r="H25" s="6" t="s">
        <v>317</v>
      </c>
      <c r="I25" s="6" t="s">
        <v>66</v>
      </c>
      <c r="J25" s="5" t="s">
        <v>66</v>
      </c>
    </row>
    <row r="26" ht="26.4" spans="1:10">
      <c r="A26" s="4">
        <v>22</v>
      </c>
      <c r="B26" s="5" t="s">
        <v>115</v>
      </c>
      <c r="C26" s="5" t="s">
        <v>26</v>
      </c>
      <c r="D26" s="5" t="s">
        <v>117</v>
      </c>
      <c r="E26" s="5" t="s">
        <v>91</v>
      </c>
      <c r="F26" s="5" t="s">
        <v>129</v>
      </c>
      <c r="G26" s="4" t="s">
        <v>66</v>
      </c>
      <c r="H26" s="6" t="s">
        <v>321</v>
      </c>
      <c r="I26" s="6" t="s">
        <v>66</v>
      </c>
      <c r="J26" s="5" t="s">
        <v>66</v>
      </c>
    </row>
    <row r="27" ht="68.4" spans="1:10">
      <c r="A27" s="4">
        <v>23</v>
      </c>
      <c r="B27" s="5" t="s">
        <v>132</v>
      </c>
      <c r="C27" s="5" t="s">
        <v>26</v>
      </c>
      <c r="D27" s="5" t="s">
        <v>134</v>
      </c>
      <c r="E27" s="5" t="s">
        <v>81</v>
      </c>
      <c r="F27" s="5" t="s">
        <v>136</v>
      </c>
      <c r="G27" s="4" t="s">
        <v>322</v>
      </c>
      <c r="H27" s="6" t="s">
        <v>323</v>
      </c>
      <c r="I27" s="6" t="s">
        <v>324</v>
      </c>
      <c r="J27" s="5" t="s">
        <v>66</v>
      </c>
    </row>
    <row r="28" ht="68.4" spans="1:10">
      <c r="A28" s="4">
        <v>24</v>
      </c>
      <c r="B28" s="5" t="s">
        <v>132</v>
      </c>
      <c r="C28" s="5" t="s">
        <v>26</v>
      </c>
      <c r="D28" s="5" t="s">
        <v>134</v>
      </c>
      <c r="E28" s="5" t="s">
        <v>83</v>
      </c>
      <c r="F28" s="5" t="s">
        <v>137</v>
      </c>
      <c r="G28" s="4" t="s">
        <v>308</v>
      </c>
      <c r="H28" s="6" t="s">
        <v>323</v>
      </c>
      <c r="I28" s="6" t="s">
        <v>324</v>
      </c>
      <c r="J28" s="5" t="s">
        <v>66</v>
      </c>
    </row>
    <row r="29" ht="68.4" spans="1:10">
      <c r="A29" s="4">
        <v>25</v>
      </c>
      <c r="B29" s="5" t="s">
        <v>132</v>
      </c>
      <c r="C29" s="5" t="s">
        <v>26</v>
      </c>
      <c r="D29" s="5" t="s">
        <v>134</v>
      </c>
      <c r="E29" s="5" t="s">
        <v>84</v>
      </c>
      <c r="F29" s="5" t="s">
        <v>138</v>
      </c>
      <c r="G29" s="4" t="s">
        <v>325</v>
      </c>
      <c r="H29" s="6" t="s">
        <v>323</v>
      </c>
      <c r="I29" s="6" t="s">
        <v>324</v>
      </c>
      <c r="J29" s="5" t="s">
        <v>66</v>
      </c>
    </row>
    <row r="30" ht="68.4" spans="1:10">
      <c r="A30" s="4">
        <v>26</v>
      </c>
      <c r="B30" s="5" t="s">
        <v>132</v>
      </c>
      <c r="C30" s="5" t="s">
        <v>26</v>
      </c>
      <c r="D30" s="5" t="s">
        <v>134</v>
      </c>
      <c r="E30" s="5" t="s">
        <v>32</v>
      </c>
      <c r="F30" s="5" t="s">
        <v>139</v>
      </c>
      <c r="G30" s="4" t="s">
        <v>312</v>
      </c>
      <c r="H30" s="6" t="s">
        <v>323</v>
      </c>
      <c r="I30" s="6" t="s">
        <v>324</v>
      </c>
      <c r="J30" s="5" t="s">
        <v>326</v>
      </c>
    </row>
    <row r="31" ht="68.4" spans="1:10">
      <c r="A31" s="4">
        <v>27</v>
      </c>
      <c r="B31" s="5" t="s">
        <v>132</v>
      </c>
      <c r="C31" s="5" t="s">
        <v>26</v>
      </c>
      <c r="D31" s="5" t="s">
        <v>134</v>
      </c>
      <c r="E31" s="5" t="s">
        <v>85</v>
      </c>
      <c r="F31" s="5" t="s">
        <v>140</v>
      </c>
      <c r="G31" s="4" t="s">
        <v>66</v>
      </c>
      <c r="H31" s="6" t="s">
        <v>323</v>
      </c>
      <c r="I31" s="6" t="s">
        <v>324</v>
      </c>
      <c r="J31" s="5" t="s">
        <v>66</v>
      </c>
    </row>
    <row r="32" ht="39.6" spans="1:10">
      <c r="A32" s="4">
        <v>28</v>
      </c>
      <c r="B32" s="5" t="s">
        <v>132</v>
      </c>
      <c r="C32" s="5" t="s">
        <v>26</v>
      </c>
      <c r="D32" s="5" t="s">
        <v>134</v>
      </c>
      <c r="E32" s="5" t="s">
        <v>86</v>
      </c>
      <c r="F32" s="5" t="s">
        <v>327</v>
      </c>
      <c r="G32" s="4" t="s">
        <v>314</v>
      </c>
      <c r="H32" s="6" t="s">
        <v>323</v>
      </c>
      <c r="I32" s="6" t="s">
        <v>66</v>
      </c>
      <c r="J32" s="5" t="s">
        <v>66</v>
      </c>
    </row>
    <row r="33" ht="39.6" spans="1:10">
      <c r="A33" s="4">
        <v>29</v>
      </c>
      <c r="B33" s="5" t="s">
        <v>132</v>
      </c>
      <c r="C33" s="5" t="s">
        <v>26</v>
      </c>
      <c r="D33" s="5" t="s">
        <v>134</v>
      </c>
      <c r="E33" s="5" t="s">
        <v>87</v>
      </c>
      <c r="F33" s="5" t="s">
        <v>142</v>
      </c>
      <c r="G33" s="4" t="s">
        <v>316</v>
      </c>
      <c r="H33" s="6" t="s">
        <v>323</v>
      </c>
      <c r="I33" s="6" t="s">
        <v>66</v>
      </c>
      <c r="J33" s="5" t="s">
        <v>66</v>
      </c>
    </row>
    <row r="34" ht="39.6" spans="1:10">
      <c r="A34" s="4">
        <v>30</v>
      </c>
      <c r="B34" s="5" t="s">
        <v>132</v>
      </c>
      <c r="C34" s="5" t="s">
        <v>26</v>
      </c>
      <c r="D34" s="5" t="s">
        <v>134</v>
      </c>
      <c r="E34" s="5" t="s">
        <v>88</v>
      </c>
      <c r="F34" s="5" t="s">
        <v>143</v>
      </c>
      <c r="G34" s="4" t="s">
        <v>66</v>
      </c>
      <c r="H34" s="6" t="s">
        <v>323</v>
      </c>
      <c r="I34" s="6" t="s">
        <v>66</v>
      </c>
      <c r="J34" s="5" t="s">
        <v>66</v>
      </c>
    </row>
    <row r="35" ht="39.6" spans="1:10">
      <c r="A35" s="4">
        <v>31</v>
      </c>
      <c r="B35" s="5" t="s">
        <v>132</v>
      </c>
      <c r="C35" s="5" t="s">
        <v>26</v>
      </c>
      <c r="D35" s="5" t="s">
        <v>134</v>
      </c>
      <c r="E35" s="5" t="s">
        <v>90</v>
      </c>
      <c r="F35" s="5" t="s">
        <v>144</v>
      </c>
      <c r="G35" s="4" t="s">
        <v>66</v>
      </c>
      <c r="H35" s="6" t="s">
        <v>323</v>
      </c>
      <c r="I35" s="6" t="s">
        <v>66</v>
      </c>
      <c r="J35" s="5" t="s">
        <v>66</v>
      </c>
    </row>
    <row r="36" ht="39.6" spans="1:10">
      <c r="A36" s="4">
        <v>32</v>
      </c>
      <c r="B36" s="5" t="s">
        <v>132</v>
      </c>
      <c r="C36" s="5" t="s">
        <v>26</v>
      </c>
      <c r="D36" s="5" t="s">
        <v>134</v>
      </c>
      <c r="E36" s="5" t="s">
        <v>91</v>
      </c>
      <c r="F36" s="5" t="s">
        <v>145</v>
      </c>
      <c r="G36" s="4" t="s">
        <v>66</v>
      </c>
      <c r="H36" s="6" t="s">
        <v>328</v>
      </c>
      <c r="I36" s="6" t="s">
        <v>66</v>
      </c>
      <c r="J36" s="5" t="s">
        <v>66</v>
      </c>
    </row>
    <row r="37" ht="39.6" spans="1:10">
      <c r="A37" s="4">
        <v>33</v>
      </c>
      <c r="B37" s="5" t="s">
        <v>151</v>
      </c>
      <c r="C37" s="5" t="s">
        <v>63</v>
      </c>
      <c r="D37" s="5" t="s">
        <v>153</v>
      </c>
      <c r="E37" s="5" t="s">
        <v>329</v>
      </c>
      <c r="F37" s="5" t="s">
        <v>330</v>
      </c>
      <c r="G37" s="4" t="s">
        <v>66</v>
      </c>
      <c r="H37" s="6" t="s">
        <v>331</v>
      </c>
      <c r="I37" s="6" t="s">
        <v>66</v>
      </c>
      <c r="J37" s="5" t="s">
        <v>332</v>
      </c>
    </row>
    <row r="38" ht="39.6" spans="1:10">
      <c r="A38" s="4">
        <v>34</v>
      </c>
      <c r="B38" s="5" t="s">
        <v>151</v>
      </c>
      <c r="C38" s="5" t="s">
        <v>63</v>
      </c>
      <c r="D38" s="5" t="s">
        <v>153</v>
      </c>
      <c r="E38" s="5" t="s">
        <v>333</v>
      </c>
      <c r="F38" s="5" t="s">
        <v>334</v>
      </c>
      <c r="G38" s="4" t="s">
        <v>66</v>
      </c>
      <c r="H38" s="6" t="s">
        <v>335</v>
      </c>
      <c r="I38" s="6" t="s">
        <v>336</v>
      </c>
      <c r="J38" s="5" t="s">
        <v>66</v>
      </c>
    </row>
    <row r="39" ht="39.6" spans="1:10">
      <c r="A39" s="4">
        <v>35</v>
      </c>
      <c r="B39" s="5" t="s">
        <v>151</v>
      </c>
      <c r="C39" s="5" t="s">
        <v>63</v>
      </c>
      <c r="D39" s="5" t="s">
        <v>153</v>
      </c>
      <c r="E39" s="5" t="s">
        <v>85</v>
      </c>
      <c r="F39" s="5" t="s">
        <v>337</v>
      </c>
      <c r="G39" s="4" t="s">
        <v>66</v>
      </c>
      <c r="H39" s="6" t="s">
        <v>335</v>
      </c>
      <c r="I39" s="6" t="s">
        <v>336</v>
      </c>
      <c r="J39" s="5" t="s">
        <v>66</v>
      </c>
    </row>
    <row r="40" ht="39.6" spans="1:10">
      <c r="A40" s="4">
        <v>36</v>
      </c>
      <c r="B40" s="5" t="s">
        <v>151</v>
      </c>
      <c r="C40" s="5" t="s">
        <v>63</v>
      </c>
      <c r="D40" s="5" t="s">
        <v>153</v>
      </c>
      <c r="E40" s="5" t="s">
        <v>84</v>
      </c>
      <c r="F40" s="5" t="s">
        <v>338</v>
      </c>
      <c r="G40" s="4" t="s">
        <v>66</v>
      </c>
      <c r="H40" s="6" t="s">
        <v>331</v>
      </c>
      <c r="I40" s="6" t="s">
        <v>66</v>
      </c>
      <c r="J40" s="5" t="s">
        <v>66</v>
      </c>
    </row>
    <row r="41" ht="39.6" spans="1:10">
      <c r="A41" s="4">
        <v>37</v>
      </c>
      <c r="B41" s="5" t="s">
        <v>151</v>
      </c>
      <c r="C41" s="5" t="s">
        <v>63</v>
      </c>
      <c r="D41" s="5" t="s">
        <v>153</v>
      </c>
      <c r="E41" s="5" t="s">
        <v>339</v>
      </c>
      <c r="F41" s="5" t="s">
        <v>340</v>
      </c>
      <c r="G41" s="4" t="s">
        <v>66</v>
      </c>
      <c r="H41" s="6" t="s">
        <v>331</v>
      </c>
      <c r="I41" s="6" t="s">
        <v>66</v>
      </c>
      <c r="J41" s="5" t="s">
        <v>66</v>
      </c>
    </row>
    <row r="42" ht="39.6" spans="1:10">
      <c r="A42" s="4">
        <v>38</v>
      </c>
      <c r="B42" s="5" t="s">
        <v>151</v>
      </c>
      <c r="C42" s="5" t="s">
        <v>63</v>
      </c>
      <c r="D42" s="5" t="s">
        <v>153</v>
      </c>
      <c r="E42" s="5" t="s">
        <v>341</v>
      </c>
      <c r="F42" s="5" t="s">
        <v>342</v>
      </c>
      <c r="G42" s="4" t="s">
        <v>343</v>
      </c>
      <c r="H42" s="6" t="s">
        <v>331</v>
      </c>
      <c r="I42" s="6" t="s">
        <v>66</v>
      </c>
      <c r="J42" s="5" t="s">
        <v>66</v>
      </c>
    </row>
    <row r="43" ht="39.6" spans="1:10">
      <c r="A43" s="4">
        <v>39</v>
      </c>
      <c r="B43" s="5" t="s">
        <v>151</v>
      </c>
      <c r="C43" s="5" t="s">
        <v>63</v>
      </c>
      <c r="D43" s="5" t="s">
        <v>153</v>
      </c>
      <c r="E43" s="5" t="s">
        <v>344</v>
      </c>
      <c r="F43" s="5" t="s">
        <v>345</v>
      </c>
      <c r="G43" s="4" t="s">
        <v>343</v>
      </c>
      <c r="H43" s="6" t="s">
        <v>331</v>
      </c>
      <c r="I43" s="6" t="s">
        <v>66</v>
      </c>
      <c r="J43" s="5" t="s">
        <v>66</v>
      </c>
    </row>
    <row r="44" ht="39.6" spans="1:10">
      <c r="A44" s="4">
        <v>40</v>
      </c>
      <c r="B44" s="5" t="s">
        <v>151</v>
      </c>
      <c r="C44" s="5" t="s">
        <v>63</v>
      </c>
      <c r="D44" s="5" t="s">
        <v>153</v>
      </c>
      <c r="E44" s="5" t="s">
        <v>346</v>
      </c>
      <c r="F44" s="5" t="s">
        <v>347</v>
      </c>
      <c r="G44" s="4" t="s">
        <v>343</v>
      </c>
      <c r="H44" s="6" t="s">
        <v>331</v>
      </c>
      <c r="I44" s="6" t="s">
        <v>66</v>
      </c>
      <c r="J44" s="5" t="s">
        <v>66</v>
      </c>
    </row>
    <row r="45" ht="39.6" spans="1:10">
      <c r="A45" s="4">
        <v>41</v>
      </c>
      <c r="B45" s="5" t="s">
        <v>151</v>
      </c>
      <c r="C45" s="5" t="s">
        <v>63</v>
      </c>
      <c r="D45" s="5" t="s">
        <v>153</v>
      </c>
      <c r="E45" s="5" t="s">
        <v>348</v>
      </c>
      <c r="F45" s="5" t="s">
        <v>349</v>
      </c>
      <c r="G45" s="4" t="s">
        <v>343</v>
      </c>
      <c r="H45" s="6" t="s">
        <v>331</v>
      </c>
      <c r="I45" s="6" t="s">
        <v>66</v>
      </c>
      <c r="J45" s="5" t="s">
        <v>66</v>
      </c>
    </row>
    <row r="46" ht="45.6" spans="1:10">
      <c r="A46" s="4">
        <v>42</v>
      </c>
      <c r="B46" s="5" t="s">
        <v>151</v>
      </c>
      <c r="C46" s="5" t="s">
        <v>63</v>
      </c>
      <c r="D46" s="5" t="s">
        <v>153</v>
      </c>
      <c r="E46" s="5" t="s">
        <v>350</v>
      </c>
      <c r="F46" s="5" t="s">
        <v>351</v>
      </c>
      <c r="G46" s="4" t="s">
        <v>66</v>
      </c>
      <c r="H46" s="6" t="s">
        <v>352</v>
      </c>
      <c r="I46" s="6" t="s">
        <v>353</v>
      </c>
      <c r="J46" s="5" t="s">
        <v>354</v>
      </c>
    </row>
    <row r="47" ht="26.4" spans="1:10">
      <c r="A47" s="4">
        <v>43</v>
      </c>
      <c r="B47" s="5" t="s">
        <v>158</v>
      </c>
      <c r="C47" s="5" t="s">
        <v>63</v>
      </c>
      <c r="D47" s="5" t="s">
        <v>160</v>
      </c>
      <c r="E47" s="5" t="s">
        <v>333</v>
      </c>
      <c r="F47" s="5" t="s">
        <v>355</v>
      </c>
      <c r="G47" s="4" t="s">
        <v>66</v>
      </c>
      <c r="H47" s="6" t="s">
        <v>164</v>
      </c>
      <c r="I47" s="6" t="s">
        <v>66</v>
      </c>
      <c r="J47" s="5" t="s">
        <v>356</v>
      </c>
    </row>
    <row r="48" ht="26.4" spans="1:10">
      <c r="A48" s="4">
        <v>44</v>
      </c>
      <c r="B48" s="5" t="s">
        <v>158</v>
      </c>
      <c r="C48" s="5" t="s">
        <v>63</v>
      </c>
      <c r="D48" s="5" t="s">
        <v>160</v>
      </c>
      <c r="E48" s="5" t="s">
        <v>82</v>
      </c>
      <c r="F48" s="5" t="s">
        <v>357</v>
      </c>
      <c r="G48" s="4" t="s">
        <v>66</v>
      </c>
      <c r="H48" s="6" t="s">
        <v>164</v>
      </c>
      <c r="I48" s="6" t="s">
        <v>66</v>
      </c>
      <c r="J48" s="5" t="s">
        <v>66</v>
      </c>
    </row>
    <row r="49" ht="26.4" spans="1:10">
      <c r="A49" s="4">
        <v>45</v>
      </c>
      <c r="B49" s="5" t="s">
        <v>158</v>
      </c>
      <c r="C49" s="5" t="s">
        <v>63</v>
      </c>
      <c r="D49" s="5" t="s">
        <v>160</v>
      </c>
      <c r="E49" s="5" t="s">
        <v>358</v>
      </c>
      <c r="F49" s="5" t="s">
        <v>359</v>
      </c>
      <c r="G49" s="4" t="s">
        <v>308</v>
      </c>
      <c r="H49" s="6" t="s">
        <v>164</v>
      </c>
      <c r="I49" s="6" t="s">
        <v>66</v>
      </c>
      <c r="J49" s="5" t="s">
        <v>66</v>
      </c>
    </row>
    <row r="50" ht="26.4" spans="1:10">
      <c r="A50" s="4">
        <v>46</v>
      </c>
      <c r="B50" s="5" t="s">
        <v>158</v>
      </c>
      <c r="C50" s="5" t="s">
        <v>63</v>
      </c>
      <c r="D50" s="5" t="s">
        <v>160</v>
      </c>
      <c r="E50" s="5" t="s">
        <v>84</v>
      </c>
      <c r="F50" s="5" t="s">
        <v>360</v>
      </c>
      <c r="G50" s="4" t="s">
        <v>66</v>
      </c>
      <c r="H50" s="6" t="s">
        <v>164</v>
      </c>
      <c r="I50" s="6" t="s">
        <v>66</v>
      </c>
      <c r="J50" s="5" t="s">
        <v>66</v>
      </c>
    </row>
    <row r="51" ht="26.4" spans="1:10">
      <c r="A51" s="4">
        <v>47</v>
      </c>
      <c r="B51" s="5" t="s">
        <v>158</v>
      </c>
      <c r="C51" s="5" t="s">
        <v>63</v>
      </c>
      <c r="D51" s="5" t="s">
        <v>160</v>
      </c>
      <c r="E51" s="5" t="s">
        <v>361</v>
      </c>
      <c r="F51" s="5" t="s">
        <v>362</v>
      </c>
      <c r="G51" s="4" t="s">
        <v>66</v>
      </c>
      <c r="H51" s="6" t="s">
        <v>164</v>
      </c>
      <c r="I51" s="6" t="s">
        <v>66</v>
      </c>
      <c r="J51" s="5" t="s">
        <v>66</v>
      </c>
    </row>
    <row r="52" ht="26.4" spans="1:10">
      <c r="A52" s="4">
        <v>48</v>
      </c>
      <c r="B52" s="5" t="s">
        <v>158</v>
      </c>
      <c r="C52" s="5" t="s">
        <v>63</v>
      </c>
      <c r="D52" s="5" t="s">
        <v>160</v>
      </c>
      <c r="E52" s="5" t="s">
        <v>88</v>
      </c>
      <c r="F52" s="5" t="s">
        <v>363</v>
      </c>
      <c r="G52" s="4" t="s">
        <v>66</v>
      </c>
      <c r="H52" s="6" t="s">
        <v>164</v>
      </c>
      <c r="I52" s="6" t="s">
        <v>66</v>
      </c>
      <c r="J52" s="5" t="s">
        <v>66</v>
      </c>
    </row>
    <row r="53" ht="26.4" spans="1:10">
      <c r="A53" s="4">
        <v>49</v>
      </c>
      <c r="B53" s="5" t="s">
        <v>158</v>
      </c>
      <c r="C53" s="5" t="s">
        <v>63</v>
      </c>
      <c r="D53" s="5" t="s">
        <v>160</v>
      </c>
      <c r="E53" s="5" t="s">
        <v>364</v>
      </c>
      <c r="F53" s="5" t="s">
        <v>365</v>
      </c>
      <c r="G53" s="4" t="s">
        <v>66</v>
      </c>
      <c r="H53" s="6" t="s">
        <v>164</v>
      </c>
      <c r="I53" s="6" t="s">
        <v>66</v>
      </c>
      <c r="J53" s="5" t="s">
        <v>66</v>
      </c>
    </row>
    <row r="54" ht="26.4" spans="1:10">
      <c r="A54" s="4">
        <v>50</v>
      </c>
      <c r="B54" s="5" t="s">
        <v>158</v>
      </c>
      <c r="C54" s="5" t="s">
        <v>63</v>
      </c>
      <c r="D54" s="5" t="s">
        <v>160</v>
      </c>
      <c r="E54" s="5" t="s">
        <v>366</v>
      </c>
      <c r="F54" s="5" t="s">
        <v>367</v>
      </c>
      <c r="G54" s="4" t="s">
        <v>66</v>
      </c>
      <c r="H54" s="6" t="s">
        <v>164</v>
      </c>
      <c r="I54" s="6" t="s">
        <v>66</v>
      </c>
      <c r="J54" s="5" t="s">
        <v>66</v>
      </c>
    </row>
    <row r="55" ht="26.4" spans="1:10">
      <c r="A55" s="4">
        <v>51</v>
      </c>
      <c r="B55" s="5" t="s">
        <v>158</v>
      </c>
      <c r="C55" s="5" t="s">
        <v>63</v>
      </c>
      <c r="D55" s="5" t="s">
        <v>160</v>
      </c>
      <c r="E55" s="5" t="s">
        <v>368</v>
      </c>
      <c r="F55" s="5" t="s">
        <v>369</v>
      </c>
      <c r="G55" s="4" t="s">
        <v>370</v>
      </c>
      <c r="H55" s="6" t="s">
        <v>164</v>
      </c>
      <c r="I55" s="6" t="s">
        <v>66</v>
      </c>
      <c r="J55" s="5" t="s">
        <v>66</v>
      </c>
    </row>
    <row r="56" ht="26.4" spans="1:10">
      <c r="A56" s="4">
        <v>52</v>
      </c>
      <c r="B56" s="5" t="s">
        <v>158</v>
      </c>
      <c r="C56" s="5" t="s">
        <v>63</v>
      </c>
      <c r="D56" s="5" t="s">
        <v>160</v>
      </c>
      <c r="E56" s="5" t="s">
        <v>329</v>
      </c>
      <c r="F56" s="5" t="s">
        <v>371</v>
      </c>
      <c r="G56" s="4" t="s">
        <v>372</v>
      </c>
      <c r="H56" s="6" t="s">
        <v>164</v>
      </c>
      <c r="I56" s="6" t="s">
        <v>66</v>
      </c>
      <c r="J56" s="5" t="s">
        <v>66</v>
      </c>
    </row>
    <row r="57" ht="26.4" spans="1:10">
      <c r="A57" s="4">
        <v>53</v>
      </c>
      <c r="B57" s="5" t="s">
        <v>158</v>
      </c>
      <c r="C57" s="5" t="s">
        <v>63</v>
      </c>
      <c r="D57" s="5" t="s">
        <v>160</v>
      </c>
      <c r="E57" s="5" t="s">
        <v>90</v>
      </c>
      <c r="F57" s="5" t="s">
        <v>373</v>
      </c>
      <c r="G57" s="4" t="s">
        <v>66</v>
      </c>
      <c r="H57" s="6" t="s">
        <v>164</v>
      </c>
      <c r="I57" s="6" t="s">
        <v>66</v>
      </c>
      <c r="J57" s="5" t="s">
        <v>66</v>
      </c>
    </row>
    <row r="58" ht="34.2" spans="1:10">
      <c r="A58" s="4">
        <v>54</v>
      </c>
      <c r="B58" s="5" t="s">
        <v>168</v>
      </c>
      <c r="C58" s="5" t="s">
        <v>64</v>
      </c>
      <c r="D58" s="5" t="s">
        <v>170</v>
      </c>
      <c r="E58" s="5" t="s">
        <v>374</v>
      </c>
      <c r="F58" s="5" t="s">
        <v>375</v>
      </c>
      <c r="G58" s="4" t="s">
        <v>66</v>
      </c>
      <c r="H58" s="6" t="s">
        <v>173</v>
      </c>
      <c r="I58" s="6" t="s">
        <v>376</v>
      </c>
      <c r="J58" s="5" t="s">
        <v>66</v>
      </c>
    </row>
    <row r="59" ht="34.2" spans="1:10">
      <c r="A59" s="4">
        <v>55</v>
      </c>
      <c r="B59" s="5" t="s">
        <v>168</v>
      </c>
      <c r="C59" s="5" t="s">
        <v>64</v>
      </c>
      <c r="D59" s="5" t="s">
        <v>170</v>
      </c>
      <c r="E59" s="5" t="s">
        <v>377</v>
      </c>
      <c r="F59" s="5" t="s">
        <v>378</v>
      </c>
      <c r="G59" s="4" t="s">
        <v>322</v>
      </c>
      <c r="H59" s="6" t="s">
        <v>173</v>
      </c>
      <c r="I59" s="6" t="s">
        <v>376</v>
      </c>
      <c r="J59" s="5" t="s">
        <v>66</v>
      </c>
    </row>
    <row r="60" ht="34.2" spans="1:10">
      <c r="A60" s="4">
        <v>56</v>
      </c>
      <c r="B60" s="5" t="s">
        <v>168</v>
      </c>
      <c r="C60" s="5" t="s">
        <v>64</v>
      </c>
      <c r="D60" s="5" t="s">
        <v>170</v>
      </c>
      <c r="E60" s="5" t="s">
        <v>379</v>
      </c>
      <c r="F60" s="5" t="s">
        <v>380</v>
      </c>
      <c r="G60" s="4" t="s">
        <v>322</v>
      </c>
      <c r="H60" s="6" t="s">
        <v>173</v>
      </c>
      <c r="I60" s="6" t="s">
        <v>376</v>
      </c>
      <c r="J60" s="5" t="s">
        <v>66</v>
      </c>
    </row>
    <row r="61" ht="34.2" spans="1:10">
      <c r="A61" s="4">
        <v>57</v>
      </c>
      <c r="B61" s="5" t="s">
        <v>168</v>
      </c>
      <c r="C61" s="5" t="s">
        <v>64</v>
      </c>
      <c r="D61" s="5" t="s">
        <v>170</v>
      </c>
      <c r="E61" s="5" t="s">
        <v>381</v>
      </c>
      <c r="F61" s="5" t="s">
        <v>382</v>
      </c>
      <c r="G61" s="4" t="s">
        <v>383</v>
      </c>
      <c r="H61" s="6" t="s">
        <v>173</v>
      </c>
      <c r="I61" s="6" t="s">
        <v>376</v>
      </c>
      <c r="J61" s="5" t="s">
        <v>66</v>
      </c>
    </row>
    <row r="62" ht="34.2" spans="1:10">
      <c r="A62" s="4">
        <v>58</v>
      </c>
      <c r="B62" s="5" t="s">
        <v>168</v>
      </c>
      <c r="C62" s="5" t="s">
        <v>64</v>
      </c>
      <c r="D62" s="5" t="s">
        <v>170</v>
      </c>
      <c r="E62" s="5" t="s">
        <v>384</v>
      </c>
      <c r="F62" s="5" t="s">
        <v>385</v>
      </c>
      <c r="G62" s="4" t="s">
        <v>370</v>
      </c>
      <c r="H62" s="6" t="s">
        <v>173</v>
      </c>
      <c r="I62" s="6" t="s">
        <v>376</v>
      </c>
      <c r="J62" s="5" t="s">
        <v>66</v>
      </c>
    </row>
    <row r="63" ht="34.2" spans="1:10">
      <c r="A63" s="4">
        <v>59</v>
      </c>
      <c r="B63" s="5" t="s">
        <v>168</v>
      </c>
      <c r="C63" s="5" t="s">
        <v>64</v>
      </c>
      <c r="D63" s="5" t="s">
        <v>170</v>
      </c>
      <c r="E63" s="5" t="s">
        <v>386</v>
      </c>
      <c r="F63" s="5" t="s">
        <v>387</v>
      </c>
      <c r="G63" s="4" t="s">
        <v>66</v>
      </c>
      <c r="H63" s="6" t="s">
        <v>173</v>
      </c>
      <c r="I63" s="6" t="s">
        <v>376</v>
      </c>
      <c r="J63" s="5" t="s">
        <v>66</v>
      </c>
    </row>
    <row r="64" ht="34.2" spans="1:10">
      <c r="A64" s="4">
        <v>60</v>
      </c>
      <c r="B64" s="5" t="s">
        <v>168</v>
      </c>
      <c r="C64" s="5" t="s">
        <v>64</v>
      </c>
      <c r="D64" s="5" t="s">
        <v>170</v>
      </c>
      <c r="E64" s="5" t="s">
        <v>388</v>
      </c>
      <c r="F64" s="5" t="s">
        <v>389</v>
      </c>
      <c r="G64" s="4" t="s">
        <v>66</v>
      </c>
      <c r="H64" s="6" t="s">
        <v>173</v>
      </c>
      <c r="I64" s="6" t="s">
        <v>376</v>
      </c>
      <c r="J64" s="5" t="s">
        <v>66</v>
      </c>
    </row>
    <row r="65" ht="34.2" spans="1:10">
      <c r="A65" s="4">
        <v>61</v>
      </c>
      <c r="B65" s="5" t="s">
        <v>168</v>
      </c>
      <c r="C65" s="5" t="s">
        <v>64</v>
      </c>
      <c r="D65" s="5" t="s">
        <v>170</v>
      </c>
      <c r="E65" s="5" t="s">
        <v>390</v>
      </c>
      <c r="F65" s="5" t="s">
        <v>391</v>
      </c>
      <c r="G65" s="4" t="s">
        <v>66</v>
      </c>
      <c r="H65" s="6" t="s">
        <v>173</v>
      </c>
      <c r="I65" s="6" t="s">
        <v>376</v>
      </c>
      <c r="J65" s="5" t="s">
        <v>66</v>
      </c>
    </row>
    <row r="66" ht="34.2" spans="1:10">
      <c r="A66" s="4">
        <v>62</v>
      </c>
      <c r="B66" s="5" t="s">
        <v>168</v>
      </c>
      <c r="C66" s="5" t="s">
        <v>64</v>
      </c>
      <c r="D66" s="5" t="s">
        <v>170</v>
      </c>
      <c r="E66" s="5" t="s">
        <v>392</v>
      </c>
      <c r="F66" s="5" t="s">
        <v>393</v>
      </c>
      <c r="G66" s="4" t="s">
        <v>66</v>
      </c>
      <c r="H66" s="6" t="s">
        <v>173</v>
      </c>
      <c r="I66" s="6" t="s">
        <v>376</v>
      </c>
      <c r="J66" s="5" t="s">
        <v>66</v>
      </c>
    </row>
    <row r="67" ht="26.4" spans="1:10">
      <c r="A67" s="4">
        <v>63</v>
      </c>
      <c r="B67" s="5" t="s">
        <v>174</v>
      </c>
      <c r="C67" s="5" t="s">
        <v>64</v>
      </c>
      <c r="D67" s="5" t="s">
        <v>176</v>
      </c>
      <c r="E67" s="5" t="s">
        <v>374</v>
      </c>
      <c r="F67" s="5" t="s">
        <v>394</v>
      </c>
      <c r="G67" s="4" t="s">
        <v>66</v>
      </c>
      <c r="H67" s="6" t="s">
        <v>395</v>
      </c>
      <c r="I67" s="6" t="s">
        <v>396</v>
      </c>
      <c r="J67" s="5" t="s">
        <v>66</v>
      </c>
    </row>
    <row r="68" ht="26.4" spans="1:10">
      <c r="A68" s="4">
        <v>64</v>
      </c>
      <c r="B68" s="5" t="s">
        <v>174</v>
      </c>
      <c r="C68" s="5" t="s">
        <v>64</v>
      </c>
      <c r="D68" s="5" t="s">
        <v>176</v>
      </c>
      <c r="E68" s="5" t="s">
        <v>377</v>
      </c>
      <c r="F68" s="5" t="s">
        <v>397</v>
      </c>
      <c r="G68" s="4" t="s">
        <v>322</v>
      </c>
      <c r="H68" s="6" t="s">
        <v>395</v>
      </c>
      <c r="I68" s="6" t="s">
        <v>396</v>
      </c>
      <c r="J68" s="5" t="s">
        <v>66</v>
      </c>
    </row>
    <row r="69" ht="26.4" spans="1:10">
      <c r="A69" s="4">
        <v>65</v>
      </c>
      <c r="B69" s="5" t="s">
        <v>174</v>
      </c>
      <c r="C69" s="5" t="s">
        <v>64</v>
      </c>
      <c r="D69" s="5" t="s">
        <v>176</v>
      </c>
      <c r="E69" s="5" t="s">
        <v>379</v>
      </c>
      <c r="F69" s="5" t="s">
        <v>398</v>
      </c>
      <c r="G69" s="4" t="s">
        <v>322</v>
      </c>
      <c r="H69" s="6" t="s">
        <v>395</v>
      </c>
      <c r="I69" s="6" t="s">
        <v>396</v>
      </c>
      <c r="J69" s="5" t="s">
        <v>66</v>
      </c>
    </row>
    <row r="70" ht="26.4" spans="1:10">
      <c r="A70" s="4">
        <v>66</v>
      </c>
      <c r="B70" s="5" t="s">
        <v>174</v>
      </c>
      <c r="C70" s="5" t="s">
        <v>64</v>
      </c>
      <c r="D70" s="5" t="s">
        <v>176</v>
      </c>
      <c r="E70" s="5" t="s">
        <v>381</v>
      </c>
      <c r="F70" s="5" t="s">
        <v>399</v>
      </c>
      <c r="G70" s="4" t="s">
        <v>383</v>
      </c>
      <c r="H70" s="6" t="s">
        <v>395</v>
      </c>
      <c r="I70" s="6" t="s">
        <v>400</v>
      </c>
      <c r="J70" s="5" t="s">
        <v>401</v>
      </c>
    </row>
    <row r="71" ht="26.4" spans="1:10">
      <c r="A71" s="4">
        <v>67</v>
      </c>
      <c r="B71" s="5" t="s">
        <v>174</v>
      </c>
      <c r="C71" s="5" t="s">
        <v>64</v>
      </c>
      <c r="D71" s="5" t="s">
        <v>176</v>
      </c>
      <c r="E71" s="5" t="s">
        <v>384</v>
      </c>
      <c r="F71" s="5" t="s">
        <v>402</v>
      </c>
      <c r="G71" s="4" t="s">
        <v>370</v>
      </c>
      <c r="H71" s="6" t="s">
        <v>395</v>
      </c>
      <c r="I71" s="6" t="s">
        <v>396</v>
      </c>
      <c r="J71" s="5" t="s">
        <v>66</v>
      </c>
    </row>
    <row r="72" ht="26.4" spans="1:10">
      <c r="A72" s="4">
        <v>68</v>
      </c>
      <c r="B72" s="5" t="s">
        <v>174</v>
      </c>
      <c r="C72" s="5" t="s">
        <v>64</v>
      </c>
      <c r="D72" s="5" t="s">
        <v>176</v>
      </c>
      <c r="E72" s="5" t="s">
        <v>386</v>
      </c>
      <c r="F72" s="5" t="s">
        <v>403</v>
      </c>
      <c r="G72" s="4" t="s">
        <v>66</v>
      </c>
      <c r="H72" s="6" t="s">
        <v>395</v>
      </c>
      <c r="I72" s="6" t="s">
        <v>400</v>
      </c>
      <c r="J72" s="5" t="s">
        <v>66</v>
      </c>
    </row>
    <row r="73" ht="26.4" spans="1:10">
      <c r="A73" s="4">
        <v>69</v>
      </c>
      <c r="B73" s="5" t="s">
        <v>174</v>
      </c>
      <c r="C73" s="5" t="s">
        <v>64</v>
      </c>
      <c r="D73" s="5" t="s">
        <v>176</v>
      </c>
      <c r="E73" s="5" t="s">
        <v>388</v>
      </c>
      <c r="F73" s="5" t="s">
        <v>404</v>
      </c>
      <c r="G73" s="4" t="s">
        <v>66</v>
      </c>
      <c r="H73" s="6" t="s">
        <v>405</v>
      </c>
      <c r="I73" s="6" t="s">
        <v>400</v>
      </c>
      <c r="J73" s="5" t="s">
        <v>66</v>
      </c>
    </row>
    <row r="74" ht="26.4" spans="1:10">
      <c r="A74" s="4">
        <v>70</v>
      </c>
      <c r="B74" s="5" t="s">
        <v>174</v>
      </c>
      <c r="C74" s="5" t="s">
        <v>64</v>
      </c>
      <c r="D74" s="5" t="s">
        <v>176</v>
      </c>
      <c r="E74" s="5" t="s">
        <v>406</v>
      </c>
      <c r="F74" s="5" t="s">
        <v>407</v>
      </c>
      <c r="G74" s="4" t="s">
        <v>408</v>
      </c>
      <c r="H74" s="6" t="s">
        <v>400</v>
      </c>
      <c r="I74" s="6" t="s">
        <v>409</v>
      </c>
      <c r="J74" s="5" t="s">
        <v>66</v>
      </c>
    </row>
    <row r="75" ht="39.6" spans="1:10">
      <c r="A75" s="4">
        <v>71</v>
      </c>
      <c r="B75" s="5" t="s">
        <v>174</v>
      </c>
      <c r="C75" s="5" t="s">
        <v>64</v>
      </c>
      <c r="D75" s="5" t="s">
        <v>176</v>
      </c>
      <c r="E75" s="5" t="s">
        <v>392</v>
      </c>
      <c r="F75" s="5" t="s">
        <v>410</v>
      </c>
      <c r="G75" s="4" t="s">
        <v>66</v>
      </c>
      <c r="H75" s="6" t="s">
        <v>395</v>
      </c>
      <c r="I75" s="6" t="s">
        <v>396</v>
      </c>
      <c r="J75" s="5" t="s">
        <v>411</v>
      </c>
    </row>
    <row r="76" ht="26.4" spans="1:10">
      <c r="A76" s="4">
        <v>72</v>
      </c>
      <c r="B76" s="5" t="s">
        <v>174</v>
      </c>
      <c r="C76" s="5" t="s">
        <v>64</v>
      </c>
      <c r="D76" s="5" t="s">
        <v>176</v>
      </c>
      <c r="E76" s="5" t="s">
        <v>412</v>
      </c>
      <c r="F76" s="5" t="s">
        <v>413</v>
      </c>
      <c r="G76" s="4" t="s">
        <v>66</v>
      </c>
      <c r="H76" s="6" t="s">
        <v>400</v>
      </c>
      <c r="I76" s="6" t="s">
        <v>66</v>
      </c>
      <c r="J76" s="5" t="s">
        <v>66</v>
      </c>
    </row>
    <row r="77" ht="39.6" spans="1:10">
      <c r="A77" s="4">
        <v>73</v>
      </c>
      <c r="B77" s="5" t="s">
        <v>180</v>
      </c>
      <c r="C77" s="5" t="s">
        <v>64</v>
      </c>
      <c r="D77" s="5" t="s">
        <v>182</v>
      </c>
      <c r="E77" s="5" t="s">
        <v>414</v>
      </c>
      <c r="F77" s="5" t="s">
        <v>415</v>
      </c>
      <c r="G77" s="4" t="s">
        <v>66</v>
      </c>
      <c r="H77" s="6" t="s">
        <v>416</v>
      </c>
      <c r="I77" s="6" t="s">
        <v>66</v>
      </c>
      <c r="J77" s="5" t="s">
        <v>66</v>
      </c>
    </row>
    <row r="78" ht="39.6" spans="1:10">
      <c r="A78" s="4">
        <v>74</v>
      </c>
      <c r="B78" s="5" t="s">
        <v>180</v>
      </c>
      <c r="C78" s="5" t="s">
        <v>64</v>
      </c>
      <c r="D78" s="5" t="s">
        <v>182</v>
      </c>
      <c r="E78" s="5" t="s">
        <v>417</v>
      </c>
      <c r="F78" s="5" t="s">
        <v>418</v>
      </c>
      <c r="G78" s="4" t="s">
        <v>308</v>
      </c>
      <c r="H78" s="6" t="s">
        <v>416</v>
      </c>
      <c r="I78" s="6" t="s">
        <v>66</v>
      </c>
      <c r="J78" s="5" t="s">
        <v>66</v>
      </c>
    </row>
    <row r="79" ht="39.6" spans="1:10">
      <c r="A79" s="4">
        <v>75</v>
      </c>
      <c r="B79" s="5" t="s">
        <v>180</v>
      </c>
      <c r="C79" s="5" t="s">
        <v>64</v>
      </c>
      <c r="D79" s="5" t="s">
        <v>182</v>
      </c>
      <c r="E79" s="5" t="s">
        <v>419</v>
      </c>
      <c r="F79" s="5" t="s">
        <v>420</v>
      </c>
      <c r="G79" s="4" t="s">
        <v>421</v>
      </c>
      <c r="H79" s="6" t="s">
        <v>416</v>
      </c>
      <c r="I79" s="6" t="s">
        <v>66</v>
      </c>
      <c r="J79" s="5" t="s">
        <v>422</v>
      </c>
    </row>
    <row r="80" ht="39.6" spans="1:10">
      <c r="A80" s="4">
        <v>76</v>
      </c>
      <c r="B80" s="5" t="s">
        <v>180</v>
      </c>
      <c r="C80" s="5" t="s">
        <v>64</v>
      </c>
      <c r="D80" s="5" t="s">
        <v>182</v>
      </c>
      <c r="E80" s="5" t="s">
        <v>423</v>
      </c>
      <c r="F80" s="5" t="s">
        <v>424</v>
      </c>
      <c r="G80" s="4" t="s">
        <v>66</v>
      </c>
      <c r="H80" s="6" t="s">
        <v>416</v>
      </c>
      <c r="I80" s="6" t="s">
        <v>66</v>
      </c>
      <c r="J80" s="5" t="s">
        <v>425</v>
      </c>
    </row>
    <row r="81" ht="39.6" spans="1:10">
      <c r="A81" s="4">
        <v>77</v>
      </c>
      <c r="B81" s="5" t="s">
        <v>180</v>
      </c>
      <c r="C81" s="5" t="s">
        <v>64</v>
      </c>
      <c r="D81" s="5" t="s">
        <v>182</v>
      </c>
      <c r="E81" s="5" t="s">
        <v>426</v>
      </c>
      <c r="F81" s="5" t="s">
        <v>427</v>
      </c>
      <c r="G81" s="4" t="s">
        <v>428</v>
      </c>
      <c r="H81" s="6" t="s">
        <v>416</v>
      </c>
      <c r="I81" s="6" t="s">
        <v>66</v>
      </c>
      <c r="J81" s="5" t="s">
        <v>66</v>
      </c>
    </row>
    <row r="82" ht="39.6" spans="1:10">
      <c r="A82" s="4">
        <v>78</v>
      </c>
      <c r="B82" s="5" t="s">
        <v>180</v>
      </c>
      <c r="C82" s="5" t="s">
        <v>64</v>
      </c>
      <c r="D82" s="5" t="s">
        <v>182</v>
      </c>
      <c r="E82" s="5" t="s">
        <v>429</v>
      </c>
      <c r="F82" s="5" t="s">
        <v>430</v>
      </c>
      <c r="G82" s="4" t="s">
        <v>66</v>
      </c>
      <c r="H82" s="6" t="s">
        <v>431</v>
      </c>
      <c r="I82" s="6" t="s">
        <v>432</v>
      </c>
      <c r="J82" s="5" t="s">
        <v>433</v>
      </c>
    </row>
    <row r="83" ht="39.6" spans="1:10">
      <c r="A83" s="4">
        <v>79</v>
      </c>
      <c r="B83" s="5" t="s">
        <v>180</v>
      </c>
      <c r="C83" s="5" t="s">
        <v>64</v>
      </c>
      <c r="D83" s="5" t="s">
        <v>182</v>
      </c>
      <c r="E83" s="5" t="s">
        <v>392</v>
      </c>
      <c r="F83" s="5" t="s">
        <v>434</v>
      </c>
      <c r="G83" s="4" t="s">
        <v>66</v>
      </c>
      <c r="H83" s="6" t="s">
        <v>435</v>
      </c>
      <c r="I83" s="6" t="s">
        <v>66</v>
      </c>
      <c r="J83" s="5" t="s">
        <v>66</v>
      </c>
    </row>
    <row r="84" ht="26.4" spans="1:10">
      <c r="A84" s="4">
        <v>80</v>
      </c>
      <c r="B84" s="5" t="s">
        <v>187</v>
      </c>
      <c r="C84" s="5" t="s">
        <v>64</v>
      </c>
      <c r="D84" s="5" t="s">
        <v>190</v>
      </c>
      <c r="E84" s="5" t="s">
        <v>436</v>
      </c>
      <c r="F84" s="5" t="s">
        <v>437</v>
      </c>
      <c r="G84" s="4" t="s">
        <v>325</v>
      </c>
      <c r="H84" s="6" t="s">
        <v>438</v>
      </c>
      <c r="I84" s="6" t="s">
        <v>66</v>
      </c>
      <c r="J84" s="5" t="s">
        <v>66</v>
      </c>
    </row>
    <row r="85" ht="26.4" spans="1:10">
      <c r="A85" s="4">
        <v>81</v>
      </c>
      <c r="B85" s="5" t="s">
        <v>187</v>
      </c>
      <c r="C85" s="5" t="s">
        <v>64</v>
      </c>
      <c r="D85" s="5" t="s">
        <v>190</v>
      </c>
      <c r="E85" s="5" t="s">
        <v>439</v>
      </c>
      <c r="F85" s="5" t="s">
        <v>440</v>
      </c>
      <c r="G85" s="4" t="s">
        <v>66</v>
      </c>
      <c r="H85" s="6" t="s">
        <v>438</v>
      </c>
      <c r="I85" s="6" t="s">
        <v>66</v>
      </c>
      <c r="J85" s="5" t="s">
        <v>66</v>
      </c>
    </row>
    <row r="86" ht="39.6" spans="1:10">
      <c r="A86" s="4">
        <v>82</v>
      </c>
      <c r="B86" s="5" t="s">
        <v>187</v>
      </c>
      <c r="C86" s="5" t="s">
        <v>64</v>
      </c>
      <c r="D86" s="5" t="s">
        <v>190</v>
      </c>
      <c r="E86" s="5" t="s">
        <v>329</v>
      </c>
      <c r="F86" s="5" t="s">
        <v>441</v>
      </c>
      <c r="G86" s="4" t="s">
        <v>343</v>
      </c>
      <c r="H86" s="6" t="s">
        <v>442</v>
      </c>
      <c r="I86" s="6" t="s">
        <v>66</v>
      </c>
      <c r="J86" s="5" t="s">
        <v>443</v>
      </c>
    </row>
    <row r="87" ht="34.2" spans="1:10">
      <c r="A87" s="4">
        <v>83</v>
      </c>
      <c r="B87" s="5" t="s">
        <v>187</v>
      </c>
      <c r="C87" s="5" t="s">
        <v>64</v>
      </c>
      <c r="D87" s="5" t="s">
        <v>190</v>
      </c>
      <c r="E87" s="5" t="s">
        <v>444</v>
      </c>
      <c r="F87" s="5" t="s">
        <v>445</v>
      </c>
      <c r="G87" s="4" t="s">
        <v>66</v>
      </c>
      <c r="H87" s="6" t="s">
        <v>438</v>
      </c>
      <c r="I87" s="6" t="s">
        <v>442</v>
      </c>
      <c r="J87" s="5" t="s">
        <v>66</v>
      </c>
    </row>
    <row r="88" ht="34.2" spans="1:10">
      <c r="A88" s="4">
        <v>84</v>
      </c>
      <c r="B88" s="5" t="s">
        <v>187</v>
      </c>
      <c r="C88" s="5" t="s">
        <v>64</v>
      </c>
      <c r="D88" s="5" t="s">
        <v>190</v>
      </c>
      <c r="E88" s="5" t="s">
        <v>446</v>
      </c>
      <c r="F88" s="5" t="s">
        <v>447</v>
      </c>
      <c r="G88" s="4" t="s">
        <v>66</v>
      </c>
      <c r="H88" s="6" t="s">
        <v>438</v>
      </c>
      <c r="I88" s="6" t="s">
        <v>442</v>
      </c>
      <c r="J88" s="5" t="s">
        <v>66</v>
      </c>
    </row>
    <row r="89" ht="39.6" spans="1:10">
      <c r="A89" s="4">
        <v>85</v>
      </c>
      <c r="B89" s="5" t="s">
        <v>187</v>
      </c>
      <c r="C89" s="5" t="s">
        <v>64</v>
      </c>
      <c r="D89" s="5" t="s">
        <v>190</v>
      </c>
      <c r="E89" s="5" t="s">
        <v>381</v>
      </c>
      <c r="F89" s="5" t="s">
        <v>448</v>
      </c>
      <c r="G89" s="4" t="s">
        <v>308</v>
      </c>
      <c r="H89" s="6" t="s">
        <v>442</v>
      </c>
      <c r="I89" s="6" t="s">
        <v>449</v>
      </c>
      <c r="J89" s="5" t="s">
        <v>450</v>
      </c>
    </row>
    <row r="90" ht="34.2" spans="1:10">
      <c r="A90" s="4">
        <v>86</v>
      </c>
      <c r="B90" s="5" t="s">
        <v>187</v>
      </c>
      <c r="C90" s="5" t="s">
        <v>64</v>
      </c>
      <c r="D90" s="5" t="s">
        <v>190</v>
      </c>
      <c r="E90" s="5" t="s">
        <v>451</v>
      </c>
      <c r="F90" s="5" t="s">
        <v>452</v>
      </c>
      <c r="G90" s="4" t="s">
        <v>453</v>
      </c>
      <c r="H90" s="6" t="s">
        <v>438</v>
      </c>
      <c r="I90" s="6" t="s">
        <v>442</v>
      </c>
      <c r="J90" s="5" t="s">
        <v>66</v>
      </c>
    </row>
    <row r="91" ht="34.2" spans="1:10">
      <c r="A91" s="4">
        <v>87</v>
      </c>
      <c r="B91" s="5" t="s">
        <v>187</v>
      </c>
      <c r="C91" s="5" t="s">
        <v>64</v>
      </c>
      <c r="D91" s="5" t="s">
        <v>190</v>
      </c>
      <c r="E91" s="5" t="s">
        <v>454</v>
      </c>
      <c r="F91" s="5" t="s">
        <v>455</v>
      </c>
      <c r="G91" s="4" t="s">
        <v>453</v>
      </c>
      <c r="H91" s="6" t="s">
        <v>438</v>
      </c>
      <c r="I91" s="6" t="s">
        <v>442</v>
      </c>
      <c r="J91" s="5" t="s">
        <v>66</v>
      </c>
    </row>
    <row r="92" ht="34.2" spans="1:10">
      <c r="A92" s="4">
        <v>88</v>
      </c>
      <c r="B92" s="5" t="s">
        <v>187</v>
      </c>
      <c r="C92" s="5" t="s">
        <v>64</v>
      </c>
      <c r="D92" s="5" t="s">
        <v>190</v>
      </c>
      <c r="E92" s="5" t="s">
        <v>456</v>
      </c>
      <c r="F92" s="5" t="s">
        <v>457</v>
      </c>
      <c r="G92" s="4" t="s">
        <v>458</v>
      </c>
      <c r="H92" s="6" t="s">
        <v>438</v>
      </c>
      <c r="I92" s="6" t="s">
        <v>442</v>
      </c>
      <c r="J92" s="5" t="s">
        <v>66</v>
      </c>
    </row>
    <row r="93" ht="39.6" spans="1:10">
      <c r="A93" s="4">
        <v>89</v>
      </c>
      <c r="B93" s="5" t="s">
        <v>187</v>
      </c>
      <c r="C93" s="5" t="s">
        <v>64</v>
      </c>
      <c r="D93" s="5" t="s">
        <v>190</v>
      </c>
      <c r="E93" s="5" t="s">
        <v>459</v>
      </c>
      <c r="F93" s="5" t="s">
        <v>460</v>
      </c>
      <c r="G93" s="4" t="s">
        <v>325</v>
      </c>
      <c r="H93" s="6" t="s">
        <v>438</v>
      </c>
      <c r="I93" s="6" t="s">
        <v>442</v>
      </c>
      <c r="J93" s="5" t="s">
        <v>461</v>
      </c>
    </row>
    <row r="94" ht="34.2" spans="1:10">
      <c r="A94" s="4">
        <v>90</v>
      </c>
      <c r="B94" s="5" t="s">
        <v>187</v>
      </c>
      <c r="C94" s="5" t="s">
        <v>64</v>
      </c>
      <c r="D94" s="5" t="s">
        <v>190</v>
      </c>
      <c r="E94" s="5" t="s">
        <v>429</v>
      </c>
      <c r="F94" s="5" t="s">
        <v>462</v>
      </c>
      <c r="G94" s="4" t="s">
        <v>66</v>
      </c>
      <c r="H94" s="6" t="s">
        <v>438</v>
      </c>
      <c r="I94" s="6" t="s">
        <v>442</v>
      </c>
      <c r="J94" s="5" t="s">
        <v>66</v>
      </c>
    </row>
    <row r="95" ht="26.4" spans="1:10">
      <c r="A95" s="4">
        <v>91</v>
      </c>
      <c r="B95" s="5" t="s">
        <v>187</v>
      </c>
      <c r="C95" s="5" t="s">
        <v>64</v>
      </c>
      <c r="D95" s="5" t="s">
        <v>190</v>
      </c>
      <c r="E95" s="5" t="s">
        <v>392</v>
      </c>
      <c r="F95" s="5" t="s">
        <v>463</v>
      </c>
      <c r="G95" s="4" t="s">
        <v>66</v>
      </c>
      <c r="H95" s="6" t="s">
        <v>464</v>
      </c>
      <c r="I95" s="6" t="s">
        <v>66</v>
      </c>
      <c r="J95" s="5" t="s">
        <v>66</v>
      </c>
    </row>
    <row r="96" ht="34.2" spans="1:10">
      <c r="A96" s="4">
        <v>92</v>
      </c>
      <c r="B96" s="5" t="s">
        <v>194</v>
      </c>
      <c r="C96" s="5" t="s">
        <v>64</v>
      </c>
      <c r="D96" s="5" t="s">
        <v>197</v>
      </c>
      <c r="E96" s="5" t="s">
        <v>465</v>
      </c>
      <c r="F96" s="5" t="s">
        <v>466</v>
      </c>
      <c r="G96" s="4" t="s">
        <v>66</v>
      </c>
      <c r="H96" s="6" t="s">
        <v>467</v>
      </c>
      <c r="I96" s="6" t="s">
        <v>468</v>
      </c>
      <c r="J96" s="5" t="s">
        <v>469</v>
      </c>
    </row>
    <row r="97" ht="52.8" spans="1:10">
      <c r="A97" s="4">
        <v>93</v>
      </c>
      <c r="B97" s="5" t="s">
        <v>194</v>
      </c>
      <c r="C97" s="5" t="s">
        <v>64</v>
      </c>
      <c r="D97" s="5" t="s">
        <v>197</v>
      </c>
      <c r="E97" s="5" t="s">
        <v>470</v>
      </c>
      <c r="F97" s="5" t="s">
        <v>471</v>
      </c>
      <c r="G97" s="4" t="s">
        <v>308</v>
      </c>
      <c r="H97" s="6" t="s">
        <v>472</v>
      </c>
      <c r="I97" s="6" t="s">
        <v>468</v>
      </c>
      <c r="J97" s="5" t="s">
        <v>473</v>
      </c>
    </row>
    <row r="98" ht="34.2" spans="1:10">
      <c r="A98" s="4">
        <v>94</v>
      </c>
      <c r="B98" s="5" t="s">
        <v>194</v>
      </c>
      <c r="C98" s="5" t="s">
        <v>64</v>
      </c>
      <c r="D98" s="5" t="s">
        <v>197</v>
      </c>
      <c r="E98" s="5" t="s">
        <v>379</v>
      </c>
      <c r="F98" s="5" t="s">
        <v>474</v>
      </c>
      <c r="G98" s="4" t="s">
        <v>475</v>
      </c>
      <c r="H98" s="6" t="s">
        <v>472</v>
      </c>
      <c r="I98" s="6" t="s">
        <v>468</v>
      </c>
      <c r="J98" s="5" t="s">
        <v>66</v>
      </c>
    </row>
    <row r="99" ht="34.2" spans="1:10">
      <c r="A99" s="4">
        <v>95</v>
      </c>
      <c r="B99" s="5" t="s">
        <v>194</v>
      </c>
      <c r="C99" s="5" t="s">
        <v>64</v>
      </c>
      <c r="D99" s="5" t="s">
        <v>197</v>
      </c>
      <c r="E99" s="5" t="s">
        <v>439</v>
      </c>
      <c r="F99" s="5" t="s">
        <v>476</v>
      </c>
      <c r="G99" s="4" t="s">
        <v>66</v>
      </c>
      <c r="H99" s="6" t="s">
        <v>472</v>
      </c>
      <c r="I99" s="6" t="s">
        <v>468</v>
      </c>
      <c r="J99" s="5" t="s">
        <v>66</v>
      </c>
    </row>
    <row r="100" ht="34.2" spans="1:10">
      <c r="A100" s="4">
        <v>96</v>
      </c>
      <c r="B100" s="5" t="s">
        <v>194</v>
      </c>
      <c r="C100" s="5" t="s">
        <v>64</v>
      </c>
      <c r="D100" s="5" t="s">
        <v>197</v>
      </c>
      <c r="E100" s="5" t="s">
        <v>477</v>
      </c>
      <c r="F100" s="5" t="s">
        <v>478</v>
      </c>
      <c r="G100" s="4" t="s">
        <v>370</v>
      </c>
      <c r="H100" s="6" t="s">
        <v>472</v>
      </c>
      <c r="I100" s="6" t="s">
        <v>468</v>
      </c>
      <c r="J100" s="5" t="s">
        <v>66</v>
      </c>
    </row>
    <row r="101" ht="34.2" spans="1:10">
      <c r="A101" s="4">
        <v>97</v>
      </c>
      <c r="B101" s="5" t="s">
        <v>194</v>
      </c>
      <c r="C101" s="5" t="s">
        <v>64</v>
      </c>
      <c r="D101" s="5" t="s">
        <v>197</v>
      </c>
      <c r="E101" s="5" t="s">
        <v>479</v>
      </c>
      <c r="F101" s="5" t="s">
        <v>480</v>
      </c>
      <c r="G101" s="4" t="s">
        <v>370</v>
      </c>
      <c r="H101" s="6" t="s">
        <v>472</v>
      </c>
      <c r="I101" s="6" t="s">
        <v>468</v>
      </c>
      <c r="J101" s="5" t="s">
        <v>66</v>
      </c>
    </row>
    <row r="102" ht="34.2" spans="1:10">
      <c r="A102" s="4">
        <v>98</v>
      </c>
      <c r="B102" s="5" t="s">
        <v>194</v>
      </c>
      <c r="C102" s="5" t="s">
        <v>64</v>
      </c>
      <c r="D102" s="5" t="s">
        <v>197</v>
      </c>
      <c r="E102" s="5" t="s">
        <v>481</v>
      </c>
      <c r="F102" s="5" t="s">
        <v>482</v>
      </c>
      <c r="G102" s="4" t="s">
        <v>66</v>
      </c>
      <c r="H102" s="6" t="s">
        <v>483</v>
      </c>
      <c r="I102" s="6" t="s">
        <v>468</v>
      </c>
      <c r="J102" s="5" t="s">
        <v>66</v>
      </c>
    </row>
    <row r="103" ht="34.2" spans="1:10">
      <c r="A103" s="4">
        <v>99</v>
      </c>
      <c r="B103" s="5" t="s">
        <v>194</v>
      </c>
      <c r="C103" s="5" t="s">
        <v>64</v>
      </c>
      <c r="D103" s="5" t="s">
        <v>197</v>
      </c>
      <c r="E103" s="5" t="s">
        <v>484</v>
      </c>
      <c r="F103" s="5" t="s">
        <v>485</v>
      </c>
      <c r="G103" s="4" t="s">
        <v>66</v>
      </c>
      <c r="H103" s="6" t="s">
        <v>483</v>
      </c>
      <c r="I103" s="6" t="s">
        <v>468</v>
      </c>
      <c r="J103" s="5" t="s">
        <v>66</v>
      </c>
    </row>
    <row r="104" ht="39.6" spans="1:10">
      <c r="A104" s="4">
        <v>100</v>
      </c>
      <c r="B104" s="5" t="s">
        <v>194</v>
      </c>
      <c r="C104" s="5" t="s">
        <v>64</v>
      </c>
      <c r="D104" s="5" t="s">
        <v>197</v>
      </c>
      <c r="E104" s="5" t="s">
        <v>232</v>
      </c>
      <c r="F104" s="5" t="s">
        <v>486</v>
      </c>
      <c r="G104" s="4" t="s">
        <v>343</v>
      </c>
      <c r="H104" s="6" t="s">
        <v>468</v>
      </c>
      <c r="I104" s="6" t="s">
        <v>483</v>
      </c>
      <c r="J104" s="5" t="s">
        <v>487</v>
      </c>
    </row>
    <row r="105" ht="22.8" spans="1:10">
      <c r="A105" s="4">
        <v>101</v>
      </c>
      <c r="B105" s="5" t="s">
        <v>201</v>
      </c>
      <c r="C105" s="5" t="s">
        <v>64</v>
      </c>
      <c r="D105" s="5" t="s">
        <v>204</v>
      </c>
      <c r="E105" s="5" t="s">
        <v>386</v>
      </c>
      <c r="F105" s="5" t="s">
        <v>488</v>
      </c>
      <c r="G105" s="4" t="s">
        <v>66</v>
      </c>
      <c r="H105" s="6" t="s">
        <v>207</v>
      </c>
      <c r="I105" s="6" t="s">
        <v>66</v>
      </c>
      <c r="J105" s="5" t="s">
        <v>66</v>
      </c>
    </row>
    <row r="106" ht="22.8" spans="1:10">
      <c r="A106" s="4">
        <v>102</v>
      </c>
      <c r="B106" s="5" t="s">
        <v>201</v>
      </c>
      <c r="C106" s="5" t="s">
        <v>64</v>
      </c>
      <c r="D106" s="5" t="s">
        <v>204</v>
      </c>
      <c r="E106" s="5" t="s">
        <v>82</v>
      </c>
      <c r="F106" s="5" t="s">
        <v>489</v>
      </c>
      <c r="G106" s="4" t="s">
        <v>66</v>
      </c>
      <c r="H106" s="6" t="s">
        <v>207</v>
      </c>
      <c r="I106" s="6" t="s">
        <v>66</v>
      </c>
      <c r="J106" s="5" t="s">
        <v>66</v>
      </c>
    </row>
    <row r="107" ht="22.8" spans="1:10">
      <c r="A107" s="4">
        <v>103</v>
      </c>
      <c r="B107" s="5" t="s">
        <v>201</v>
      </c>
      <c r="C107" s="5" t="s">
        <v>64</v>
      </c>
      <c r="D107" s="5" t="s">
        <v>204</v>
      </c>
      <c r="E107" s="5" t="s">
        <v>329</v>
      </c>
      <c r="F107" s="5" t="s">
        <v>490</v>
      </c>
      <c r="G107" s="4" t="s">
        <v>372</v>
      </c>
      <c r="H107" s="6" t="s">
        <v>207</v>
      </c>
      <c r="I107" s="6" t="s">
        <v>66</v>
      </c>
      <c r="J107" s="5" t="s">
        <v>66</v>
      </c>
    </row>
    <row r="108" ht="26.4" spans="1:10">
      <c r="A108" s="4">
        <v>104</v>
      </c>
      <c r="B108" s="5" t="s">
        <v>201</v>
      </c>
      <c r="C108" s="5" t="s">
        <v>64</v>
      </c>
      <c r="D108" s="5" t="s">
        <v>204</v>
      </c>
      <c r="E108" s="5" t="s">
        <v>491</v>
      </c>
      <c r="F108" s="5" t="s">
        <v>492</v>
      </c>
      <c r="G108" s="4" t="s">
        <v>308</v>
      </c>
      <c r="H108" s="6" t="s">
        <v>207</v>
      </c>
      <c r="I108" s="6" t="s">
        <v>66</v>
      </c>
      <c r="J108" s="5" t="s">
        <v>493</v>
      </c>
    </row>
    <row r="109" ht="26.4" spans="1:10">
      <c r="A109" s="4">
        <v>105</v>
      </c>
      <c r="B109" s="5" t="s">
        <v>201</v>
      </c>
      <c r="C109" s="5" t="s">
        <v>64</v>
      </c>
      <c r="D109" s="5" t="s">
        <v>204</v>
      </c>
      <c r="E109" s="5" t="s">
        <v>494</v>
      </c>
      <c r="F109" s="5" t="s">
        <v>495</v>
      </c>
      <c r="G109" s="4" t="s">
        <v>66</v>
      </c>
      <c r="H109" s="6" t="s">
        <v>207</v>
      </c>
      <c r="I109" s="6" t="s">
        <v>66</v>
      </c>
      <c r="J109" s="5" t="s">
        <v>496</v>
      </c>
    </row>
    <row r="110" ht="22.8" spans="1:10">
      <c r="A110" s="4">
        <v>106</v>
      </c>
      <c r="B110" s="5" t="s">
        <v>201</v>
      </c>
      <c r="C110" s="5" t="s">
        <v>64</v>
      </c>
      <c r="D110" s="5" t="s">
        <v>204</v>
      </c>
      <c r="E110" s="5" t="s">
        <v>497</v>
      </c>
      <c r="F110" s="5" t="s">
        <v>498</v>
      </c>
      <c r="G110" s="4" t="s">
        <v>66</v>
      </c>
      <c r="H110" s="6" t="s">
        <v>207</v>
      </c>
      <c r="I110" s="6" t="s">
        <v>66</v>
      </c>
      <c r="J110" s="5" t="s">
        <v>66</v>
      </c>
    </row>
    <row r="111" ht="22.8" spans="1:10">
      <c r="A111" s="4">
        <v>107</v>
      </c>
      <c r="B111" s="5" t="s">
        <v>201</v>
      </c>
      <c r="C111" s="5" t="s">
        <v>64</v>
      </c>
      <c r="D111" s="5" t="s">
        <v>204</v>
      </c>
      <c r="E111" s="5" t="s">
        <v>366</v>
      </c>
      <c r="F111" s="5" t="s">
        <v>499</v>
      </c>
      <c r="G111" s="4" t="s">
        <v>66</v>
      </c>
      <c r="H111" s="6" t="s">
        <v>207</v>
      </c>
      <c r="I111" s="6" t="s">
        <v>66</v>
      </c>
      <c r="J111" s="5" t="s">
        <v>66</v>
      </c>
    </row>
    <row r="112" ht="26.4" spans="1:10">
      <c r="A112" s="4">
        <v>108</v>
      </c>
      <c r="B112" s="5" t="s">
        <v>201</v>
      </c>
      <c r="C112" s="5" t="s">
        <v>64</v>
      </c>
      <c r="D112" s="5" t="s">
        <v>204</v>
      </c>
      <c r="E112" s="5" t="s">
        <v>500</v>
      </c>
      <c r="F112" s="5" t="s">
        <v>501</v>
      </c>
      <c r="G112" s="4" t="s">
        <v>66</v>
      </c>
      <c r="H112" s="6" t="s">
        <v>207</v>
      </c>
      <c r="I112" s="6" t="s">
        <v>66</v>
      </c>
      <c r="J112" s="5" t="s">
        <v>66</v>
      </c>
    </row>
    <row r="113" ht="52.8" spans="1:10">
      <c r="A113" s="4">
        <v>109</v>
      </c>
      <c r="B113" s="5" t="s">
        <v>208</v>
      </c>
      <c r="C113" s="5" t="s">
        <v>64</v>
      </c>
      <c r="D113" s="5" t="s">
        <v>210</v>
      </c>
      <c r="E113" s="5" t="s">
        <v>502</v>
      </c>
      <c r="F113" s="5" t="s">
        <v>503</v>
      </c>
      <c r="G113" s="4" t="s">
        <v>370</v>
      </c>
      <c r="H113" s="6" t="s">
        <v>504</v>
      </c>
      <c r="I113" s="6" t="s">
        <v>505</v>
      </c>
      <c r="J113" s="5" t="s">
        <v>506</v>
      </c>
    </row>
    <row r="114" ht="26.4" spans="1:10">
      <c r="A114" s="4">
        <v>110</v>
      </c>
      <c r="B114" s="5" t="s">
        <v>208</v>
      </c>
      <c r="C114" s="5" t="s">
        <v>64</v>
      </c>
      <c r="D114" s="5" t="s">
        <v>210</v>
      </c>
      <c r="E114" s="5" t="s">
        <v>507</v>
      </c>
      <c r="F114" s="5" t="s">
        <v>508</v>
      </c>
      <c r="G114" s="4" t="s">
        <v>66</v>
      </c>
      <c r="H114" s="6" t="s">
        <v>505</v>
      </c>
      <c r="I114" s="6" t="s">
        <v>66</v>
      </c>
      <c r="J114" s="5" t="s">
        <v>509</v>
      </c>
    </row>
    <row r="115" ht="26.4" spans="1:10">
      <c r="A115" s="4">
        <v>111</v>
      </c>
      <c r="B115" s="5" t="s">
        <v>208</v>
      </c>
      <c r="C115" s="5" t="s">
        <v>64</v>
      </c>
      <c r="D115" s="5" t="s">
        <v>210</v>
      </c>
      <c r="E115" s="5" t="s">
        <v>510</v>
      </c>
      <c r="F115" s="5" t="s">
        <v>511</v>
      </c>
      <c r="G115" s="4" t="s">
        <v>66</v>
      </c>
      <c r="H115" s="6" t="s">
        <v>512</v>
      </c>
      <c r="I115" s="6" t="s">
        <v>66</v>
      </c>
      <c r="J115" s="5" t="s">
        <v>66</v>
      </c>
    </row>
    <row r="116" ht="26.4" spans="1:10">
      <c r="A116" s="4">
        <v>112</v>
      </c>
      <c r="B116" s="5" t="s">
        <v>208</v>
      </c>
      <c r="C116" s="5" t="s">
        <v>64</v>
      </c>
      <c r="D116" s="5" t="s">
        <v>210</v>
      </c>
      <c r="E116" s="5" t="s">
        <v>329</v>
      </c>
      <c r="F116" s="5" t="s">
        <v>513</v>
      </c>
      <c r="G116" s="4" t="s">
        <v>66</v>
      </c>
      <c r="H116" s="6" t="s">
        <v>505</v>
      </c>
      <c r="I116" s="6" t="s">
        <v>66</v>
      </c>
      <c r="J116" s="5" t="s">
        <v>66</v>
      </c>
    </row>
    <row r="117" ht="26.4" spans="1:10">
      <c r="A117" s="4">
        <v>113</v>
      </c>
      <c r="B117" s="5" t="s">
        <v>208</v>
      </c>
      <c r="C117" s="5" t="s">
        <v>64</v>
      </c>
      <c r="D117" s="5" t="s">
        <v>210</v>
      </c>
      <c r="E117" s="5" t="s">
        <v>341</v>
      </c>
      <c r="F117" s="5" t="s">
        <v>514</v>
      </c>
      <c r="G117" s="4" t="s">
        <v>343</v>
      </c>
      <c r="H117" s="6" t="s">
        <v>512</v>
      </c>
      <c r="I117" s="6" t="s">
        <v>66</v>
      </c>
      <c r="J117" s="5" t="s">
        <v>66</v>
      </c>
    </row>
    <row r="118" ht="26.4" spans="1:10">
      <c r="A118" s="4">
        <v>114</v>
      </c>
      <c r="B118" s="5" t="s">
        <v>208</v>
      </c>
      <c r="C118" s="5" t="s">
        <v>64</v>
      </c>
      <c r="D118" s="5" t="s">
        <v>210</v>
      </c>
      <c r="E118" s="5" t="s">
        <v>515</v>
      </c>
      <c r="F118" s="5" t="s">
        <v>516</v>
      </c>
      <c r="G118" s="4" t="s">
        <v>66</v>
      </c>
      <c r="H118" s="6" t="s">
        <v>512</v>
      </c>
      <c r="I118" s="6" t="s">
        <v>66</v>
      </c>
      <c r="J118" s="5" t="s">
        <v>66</v>
      </c>
    </row>
    <row r="119" ht="52.8" spans="1:10">
      <c r="A119" s="4">
        <v>115</v>
      </c>
      <c r="B119" s="5" t="s">
        <v>208</v>
      </c>
      <c r="C119" s="5" t="s">
        <v>64</v>
      </c>
      <c r="D119" s="5" t="s">
        <v>210</v>
      </c>
      <c r="E119" s="5" t="s">
        <v>517</v>
      </c>
      <c r="F119" s="5" t="s">
        <v>518</v>
      </c>
      <c r="G119" s="4" t="s">
        <v>66</v>
      </c>
      <c r="H119" s="6" t="s">
        <v>512</v>
      </c>
      <c r="I119" s="6" t="s">
        <v>66</v>
      </c>
      <c r="J119" s="5" t="s">
        <v>519</v>
      </c>
    </row>
    <row r="120" ht="26.4" spans="1:10">
      <c r="A120" s="4">
        <v>116</v>
      </c>
      <c r="B120" s="5" t="s">
        <v>208</v>
      </c>
      <c r="C120" s="5" t="s">
        <v>64</v>
      </c>
      <c r="D120" s="5" t="s">
        <v>210</v>
      </c>
      <c r="E120" s="5" t="s">
        <v>520</v>
      </c>
      <c r="F120" s="5" t="s">
        <v>521</v>
      </c>
      <c r="G120" s="4" t="s">
        <v>66</v>
      </c>
      <c r="H120" s="6" t="s">
        <v>512</v>
      </c>
      <c r="I120" s="6" t="s">
        <v>66</v>
      </c>
      <c r="J120" s="5" t="s">
        <v>66</v>
      </c>
    </row>
    <row r="121" ht="22.8" spans="1:10">
      <c r="A121" s="4">
        <v>117</v>
      </c>
      <c r="B121" s="5" t="s">
        <v>215</v>
      </c>
      <c r="C121" s="5" t="s">
        <v>64</v>
      </c>
      <c r="D121" s="5" t="s">
        <v>218</v>
      </c>
      <c r="E121" s="5" t="s">
        <v>522</v>
      </c>
      <c r="F121" s="5" t="s">
        <v>523</v>
      </c>
      <c r="G121" s="4" t="s">
        <v>66</v>
      </c>
      <c r="H121" s="6" t="s">
        <v>222</v>
      </c>
      <c r="I121" s="6" t="s">
        <v>66</v>
      </c>
      <c r="J121" s="5" t="s">
        <v>66</v>
      </c>
    </row>
    <row r="122" ht="22.8" spans="1:10">
      <c r="A122" s="4">
        <v>118</v>
      </c>
      <c r="B122" s="5" t="s">
        <v>215</v>
      </c>
      <c r="C122" s="5" t="s">
        <v>64</v>
      </c>
      <c r="D122" s="5" t="s">
        <v>218</v>
      </c>
      <c r="E122" s="5" t="s">
        <v>524</v>
      </c>
      <c r="F122" s="5" t="s">
        <v>525</v>
      </c>
      <c r="G122" s="4" t="s">
        <v>343</v>
      </c>
      <c r="H122" s="6" t="s">
        <v>222</v>
      </c>
      <c r="I122" s="6" t="s">
        <v>66</v>
      </c>
      <c r="J122" s="5" t="s">
        <v>66</v>
      </c>
    </row>
    <row r="123" ht="22.8" spans="1:10">
      <c r="A123" s="4">
        <v>119</v>
      </c>
      <c r="B123" s="5" t="s">
        <v>215</v>
      </c>
      <c r="C123" s="5" t="s">
        <v>64</v>
      </c>
      <c r="D123" s="5" t="s">
        <v>218</v>
      </c>
      <c r="E123" s="5" t="s">
        <v>526</v>
      </c>
      <c r="F123" s="5" t="s">
        <v>527</v>
      </c>
      <c r="G123" s="4" t="s">
        <v>66</v>
      </c>
      <c r="H123" s="6" t="s">
        <v>222</v>
      </c>
      <c r="I123" s="6" t="s">
        <v>66</v>
      </c>
      <c r="J123" s="5" t="s">
        <v>66</v>
      </c>
    </row>
    <row r="124" ht="26.4" spans="1:10">
      <c r="A124" s="4">
        <v>120</v>
      </c>
      <c r="B124" s="5" t="s">
        <v>215</v>
      </c>
      <c r="C124" s="5" t="s">
        <v>64</v>
      </c>
      <c r="D124" s="5" t="s">
        <v>218</v>
      </c>
      <c r="E124" s="5" t="s">
        <v>528</v>
      </c>
      <c r="F124" s="5" t="s">
        <v>529</v>
      </c>
      <c r="G124" s="4" t="s">
        <v>343</v>
      </c>
      <c r="H124" s="6" t="s">
        <v>222</v>
      </c>
      <c r="I124" s="6" t="s">
        <v>66</v>
      </c>
      <c r="J124" s="5" t="s">
        <v>66</v>
      </c>
    </row>
    <row r="125" ht="52.8" spans="1:10">
      <c r="A125" s="4">
        <v>121</v>
      </c>
      <c r="B125" s="5" t="s">
        <v>215</v>
      </c>
      <c r="C125" s="5" t="s">
        <v>64</v>
      </c>
      <c r="D125" s="5" t="s">
        <v>218</v>
      </c>
      <c r="E125" s="5" t="s">
        <v>344</v>
      </c>
      <c r="F125" s="5" t="s">
        <v>530</v>
      </c>
      <c r="G125" s="4" t="s">
        <v>343</v>
      </c>
      <c r="H125" s="6" t="s">
        <v>222</v>
      </c>
      <c r="I125" s="6" t="s">
        <v>66</v>
      </c>
      <c r="J125" s="5" t="s">
        <v>531</v>
      </c>
    </row>
    <row r="126" ht="22.8" spans="1:10">
      <c r="A126" s="4">
        <v>122</v>
      </c>
      <c r="B126" s="5" t="s">
        <v>215</v>
      </c>
      <c r="C126" s="5" t="s">
        <v>64</v>
      </c>
      <c r="D126" s="5" t="s">
        <v>218</v>
      </c>
      <c r="E126" s="5" t="s">
        <v>346</v>
      </c>
      <c r="F126" s="5" t="s">
        <v>532</v>
      </c>
      <c r="G126" s="4" t="s">
        <v>343</v>
      </c>
      <c r="H126" s="6" t="s">
        <v>222</v>
      </c>
      <c r="I126" s="6" t="s">
        <v>66</v>
      </c>
      <c r="J126" s="5" t="s">
        <v>66</v>
      </c>
    </row>
    <row r="127" ht="22.8" spans="1:10">
      <c r="A127" s="4">
        <v>123</v>
      </c>
      <c r="B127" s="5" t="s">
        <v>215</v>
      </c>
      <c r="C127" s="5" t="s">
        <v>64</v>
      </c>
      <c r="D127" s="5" t="s">
        <v>218</v>
      </c>
      <c r="E127" s="5" t="s">
        <v>533</v>
      </c>
      <c r="F127" s="5" t="s">
        <v>534</v>
      </c>
      <c r="G127" s="4" t="s">
        <v>343</v>
      </c>
      <c r="H127" s="6" t="s">
        <v>222</v>
      </c>
      <c r="I127" s="6" t="s">
        <v>66</v>
      </c>
      <c r="J127" s="5" t="s">
        <v>66</v>
      </c>
    </row>
    <row r="128" ht="22.8" spans="1:10">
      <c r="A128" s="4">
        <v>124</v>
      </c>
      <c r="B128" s="5" t="s">
        <v>215</v>
      </c>
      <c r="C128" s="5" t="s">
        <v>64</v>
      </c>
      <c r="D128" s="5" t="s">
        <v>218</v>
      </c>
      <c r="E128" s="5" t="s">
        <v>535</v>
      </c>
      <c r="F128" s="5" t="s">
        <v>536</v>
      </c>
      <c r="G128" s="4" t="s">
        <v>66</v>
      </c>
      <c r="H128" s="6" t="s">
        <v>222</v>
      </c>
      <c r="I128" s="6" t="s">
        <v>66</v>
      </c>
      <c r="J128" s="5" t="s">
        <v>66</v>
      </c>
    </row>
    <row r="129" ht="22.8" spans="1:10">
      <c r="A129" s="4">
        <v>125</v>
      </c>
      <c r="B129" s="5" t="s">
        <v>215</v>
      </c>
      <c r="C129" s="5" t="s">
        <v>64</v>
      </c>
      <c r="D129" s="5" t="s">
        <v>218</v>
      </c>
      <c r="E129" s="5" t="s">
        <v>339</v>
      </c>
      <c r="F129" s="5" t="s">
        <v>537</v>
      </c>
      <c r="G129" s="4" t="s">
        <v>66</v>
      </c>
      <c r="H129" s="6" t="s">
        <v>222</v>
      </c>
      <c r="I129" s="6" t="s">
        <v>66</v>
      </c>
      <c r="J129" s="5" t="s">
        <v>66</v>
      </c>
    </row>
    <row r="130" ht="22.8" spans="1:10">
      <c r="A130" s="4">
        <v>126</v>
      </c>
      <c r="B130" s="5" t="s">
        <v>215</v>
      </c>
      <c r="C130" s="5" t="s">
        <v>64</v>
      </c>
      <c r="D130" s="5" t="s">
        <v>218</v>
      </c>
      <c r="E130" s="5" t="s">
        <v>538</v>
      </c>
      <c r="F130" s="5" t="s">
        <v>539</v>
      </c>
      <c r="G130" s="4" t="s">
        <v>343</v>
      </c>
      <c r="H130" s="6" t="s">
        <v>222</v>
      </c>
      <c r="I130" s="6" t="s">
        <v>66</v>
      </c>
      <c r="J130" s="5" t="s">
        <v>66</v>
      </c>
    </row>
    <row r="131" ht="39.6" spans="1:10">
      <c r="A131" s="4">
        <v>127</v>
      </c>
      <c r="B131" s="5" t="s">
        <v>223</v>
      </c>
      <c r="C131" s="5" t="s">
        <v>64</v>
      </c>
      <c r="D131" s="5" t="s">
        <v>226</v>
      </c>
      <c r="E131" s="5" t="s">
        <v>540</v>
      </c>
      <c r="F131" s="5" t="s">
        <v>541</v>
      </c>
      <c r="G131" s="4" t="s">
        <v>66</v>
      </c>
      <c r="H131" s="6" t="s">
        <v>230</v>
      </c>
      <c r="I131" s="6" t="s">
        <v>66</v>
      </c>
      <c r="J131" s="5" t="s">
        <v>542</v>
      </c>
    </row>
    <row r="132" ht="52.8" spans="1:10">
      <c r="A132" s="4">
        <v>128</v>
      </c>
      <c r="B132" s="5" t="s">
        <v>223</v>
      </c>
      <c r="C132" s="5" t="s">
        <v>64</v>
      </c>
      <c r="D132" s="5" t="s">
        <v>226</v>
      </c>
      <c r="E132" s="5" t="s">
        <v>543</v>
      </c>
      <c r="F132" s="5" t="s">
        <v>544</v>
      </c>
      <c r="G132" s="4" t="s">
        <v>343</v>
      </c>
      <c r="H132" s="6" t="s">
        <v>230</v>
      </c>
      <c r="I132" s="6" t="s">
        <v>545</v>
      </c>
      <c r="J132" s="5" t="s">
        <v>546</v>
      </c>
    </row>
    <row r="133" ht="26.4" spans="1:10">
      <c r="A133" s="4">
        <v>129</v>
      </c>
      <c r="B133" s="5" t="s">
        <v>223</v>
      </c>
      <c r="C133" s="5" t="s">
        <v>64</v>
      </c>
      <c r="D133" s="5" t="s">
        <v>226</v>
      </c>
      <c r="E133" s="5" t="s">
        <v>341</v>
      </c>
      <c r="F133" s="5" t="s">
        <v>547</v>
      </c>
      <c r="G133" s="4" t="s">
        <v>343</v>
      </c>
      <c r="H133" s="6" t="s">
        <v>230</v>
      </c>
      <c r="I133" s="6" t="s">
        <v>66</v>
      </c>
      <c r="J133" s="5" t="s">
        <v>66</v>
      </c>
    </row>
    <row r="134" ht="26.4" spans="1:10">
      <c r="A134" s="4">
        <v>130</v>
      </c>
      <c r="B134" s="5" t="s">
        <v>223</v>
      </c>
      <c r="C134" s="5" t="s">
        <v>64</v>
      </c>
      <c r="D134" s="5" t="s">
        <v>226</v>
      </c>
      <c r="E134" s="5" t="s">
        <v>548</v>
      </c>
      <c r="F134" s="5" t="s">
        <v>549</v>
      </c>
      <c r="G134" s="4" t="s">
        <v>370</v>
      </c>
      <c r="H134" s="6" t="s">
        <v>230</v>
      </c>
      <c r="I134" s="6" t="s">
        <v>66</v>
      </c>
      <c r="J134" s="5" t="s">
        <v>66</v>
      </c>
    </row>
    <row r="135" ht="26.4" spans="1:10">
      <c r="A135" s="4">
        <v>131</v>
      </c>
      <c r="B135" s="5" t="s">
        <v>223</v>
      </c>
      <c r="C135" s="5" t="s">
        <v>64</v>
      </c>
      <c r="D135" s="5" t="s">
        <v>226</v>
      </c>
      <c r="E135" s="5" t="s">
        <v>538</v>
      </c>
      <c r="F135" s="5" t="s">
        <v>550</v>
      </c>
      <c r="G135" s="4" t="s">
        <v>343</v>
      </c>
      <c r="H135" s="6" t="s">
        <v>230</v>
      </c>
      <c r="I135" s="6" t="s">
        <v>66</v>
      </c>
      <c r="J135" s="5" t="s">
        <v>66</v>
      </c>
    </row>
    <row r="136" ht="26.4" spans="1:10">
      <c r="A136" s="4">
        <v>132</v>
      </c>
      <c r="B136" s="5" t="s">
        <v>223</v>
      </c>
      <c r="C136" s="5" t="s">
        <v>64</v>
      </c>
      <c r="D136" s="5" t="s">
        <v>226</v>
      </c>
      <c r="E136" s="5" t="s">
        <v>551</v>
      </c>
      <c r="F136" s="5" t="s">
        <v>552</v>
      </c>
      <c r="G136" s="4" t="s">
        <v>66</v>
      </c>
      <c r="H136" s="6" t="s">
        <v>230</v>
      </c>
      <c r="I136" s="6" t="s">
        <v>66</v>
      </c>
      <c r="J136" s="5" t="s">
        <v>66</v>
      </c>
    </row>
    <row r="137" ht="26.4" spans="1:10">
      <c r="A137" s="4">
        <v>133</v>
      </c>
      <c r="B137" s="5" t="s">
        <v>223</v>
      </c>
      <c r="C137" s="5" t="s">
        <v>64</v>
      </c>
      <c r="D137" s="5" t="s">
        <v>226</v>
      </c>
      <c r="E137" s="5" t="s">
        <v>429</v>
      </c>
      <c r="F137" s="5" t="s">
        <v>553</v>
      </c>
      <c r="G137" s="4" t="s">
        <v>66</v>
      </c>
      <c r="H137" s="6" t="s">
        <v>230</v>
      </c>
      <c r="I137" s="6" t="s">
        <v>66</v>
      </c>
      <c r="J137" s="5" t="s">
        <v>66</v>
      </c>
    </row>
    <row r="138" ht="26.4" spans="1:10">
      <c r="A138" s="4">
        <v>134</v>
      </c>
      <c r="B138" s="5" t="s">
        <v>244</v>
      </c>
      <c r="C138" s="5" t="s">
        <v>32</v>
      </c>
      <c r="D138" s="5" t="s">
        <v>246</v>
      </c>
      <c r="E138" s="5" t="s">
        <v>232</v>
      </c>
      <c r="F138" s="5" t="s">
        <v>554</v>
      </c>
      <c r="G138" s="4" t="s">
        <v>312</v>
      </c>
      <c r="H138" s="6" t="s">
        <v>260</v>
      </c>
      <c r="I138" s="6" t="s">
        <v>66</v>
      </c>
      <c r="J138" s="5" t="s">
        <v>66</v>
      </c>
    </row>
    <row r="139" ht="26.4" spans="1:10">
      <c r="A139" s="4">
        <v>135</v>
      </c>
      <c r="B139" s="5" t="s">
        <v>244</v>
      </c>
      <c r="C139" s="5" t="s">
        <v>32</v>
      </c>
      <c r="D139" s="5" t="s">
        <v>246</v>
      </c>
      <c r="E139" s="5" t="s">
        <v>233</v>
      </c>
      <c r="F139" s="5" t="s">
        <v>249</v>
      </c>
      <c r="G139" s="4" t="s">
        <v>66</v>
      </c>
      <c r="H139" s="6" t="s">
        <v>260</v>
      </c>
      <c r="I139" s="6" t="s">
        <v>66</v>
      </c>
      <c r="J139" s="5" t="s">
        <v>66</v>
      </c>
    </row>
    <row r="140" ht="26.4" spans="1:10">
      <c r="A140" s="4">
        <v>136</v>
      </c>
      <c r="B140" s="5" t="s">
        <v>244</v>
      </c>
      <c r="C140" s="5" t="s">
        <v>32</v>
      </c>
      <c r="D140" s="5" t="s">
        <v>246</v>
      </c>
      <c r="E140" s="5" t="s">
        <v>234</v>
      </c>
      <c r="F140" s="5" t="s">
        <v>347</v>
      </c>
      <c r="G140" s="4" t="s">
        <v>555</v>
      </c>
      <c r="H140" s="6" t="s">
        <v>260</v>
      </c>
      <c r="I140" s="6" t="s">
        <v>66</v>
      </c>
      <c r="J140" s="5" t="s">
        <v>66</v>
      </c>
    </row>
    <row r="141" ht="26.4" spans="1:10">
      <c r="A141" s="4">
        <v>137</v>
      </c>
      <c r="B141" s="5" t="s">
        <v>244</v>
      </c>
      <c r="C141" s="5" t="s">
        <v>32</v>
      </c>
      <c r="D141" s="5" t="s">
        <v>246</v>
      </c>
      <c r="E141" s="5" t="s">
        <v>235</v>
      </c>
      <c r="F141" s="5" t="s">
        <v>251</v>
      </c>
      <c r="G141" s="4" t="s">
        <v>66</v>
      </c>
      <c r="H141" s="6" t="s">
        <v>260</v>
      </c>
      <c r="I141" s="6" t="s">
        <v>66</v>
      </c>
      <c r="J141" s="5" t="s">
        <v>66</v>
      </c>
    </row>
    <row r="142" ht="26.4" spans="1:10">
      <c r="A142" s="4">
        <v>138</v>
      </c>
      <c r="B142" s="5" t="s">
        <v>244</v>
      </c>
      <c r="C142" s="5" t="s">
        <v>32</v>
      </c>
      <c r="D142" s="5" t="s">
        <v>246</v>
      </c>
      <c r="E142" s="5" t="s">
        <v>236</v>
      </c>
      <c r="F142" s="5" t="s">
        <v>252</v>
      </c>
      <c r="G142" s="4" t="s">
        <v>66</v>
      </c>
      <c r="H142" s="6" t="s">
        <v>260</v>
      </c>
      <c r="I142" s="6" t="s">
        <v>66</v>
      </c>
      <c r="J142" s="5" t="s">
        <v>66</v>
      </c>
    </row>
    <row r="143" ht="26.4" spans="1:10">
      <c r="A143" s="4">
        <v>139</v>
      </c>
      <c r="B143" s="5" t="s">
        <v>244</v>
      </c>
      <c r="C143" s="5" t="s">
        <v>32</v>
      </c>
      <c r="D143" s="5" t="s">
        <v>246</v>
      </c>
      <c r="E143" s="5" t="s">
        <v>237</v>
      </c>
      <c r="F143" s="5" t="s">
        <v>253</v>
      </c>
      <c r="G143" s="4" t="s">
        <v>556</v>
      </c>
      <c r="H143" s="6" t="s">
        <v>260</v>
      </c>
      <c r="I143" s="6" t="s">
        <v>66</v>
      </c>
      <c r="J143" s="5" t="s">
        <v>66</v>
      </c>
    </row>
    <row r="144" ht="26.4" spans="1:10">
      <c r="A144" s="4">
        <v>140</v>
      </c>
      <c r="B144" s="5" t="s">
        <v>244</v>
      </c>
      <c r="C144" s="5" t="s">
        <v>32</v>
      </c>
      <c r="D144" s="5" t="s">
        <v>246</v>
      </c>
      <c r="E144" s="5" t="s">
        <v>238</v>
      </c>
      <c r="F144" s="5" t="s">
        <v>254</v>
      </c>
      <c r="G144" s="4" t="s">
        <v>66</v>
      </c>
      <c r="H144" s="6" t="s">
        <v>260</v>
      </c>
      <c r="I144" s="6" t="s">
        <v>66</v>
      </c>
      <c r="J144" s="5" t="s">
        <v>66</v>
      </c>
    </row>
    <row r="145" ht="26.4" spans="1:10">
      <c r="A145" s="4">
        <v>141</v>
      </c>
      <c r="B145" s="5" t="s">
        <v>244</v>
      </c>
      <c r="C145" s="5" t="s">
        <v>32</v>
      </c>
      <c r="D145" s="5" t="s">
        <v>246</v>
      </c>
      <c r="E145" s="5" t="s">
        <v>239</v>
      </c>
      <c r="F145" s="5" t="s">
        <v>255</v>
      </c>
      <c r="G145" s="4" t="s">
        <v>66</v>
      </c>
      <c r="H145" s="6" t="s">
        <v>260</v>
      </c>
      <c r="I145" s="6" t="s">
        <v>66</v>
      </c>
      <c r="J145" s="5" t="s">
        <v>66</v>
      </c>
    </row>
    <row r="146" ht="26.4" spans="1:10">
      <c r="A146" s="4">
        <v>142</v>
      </c>
      <c r="B146" s="5" t="s">
        <v>244</v>
      </c>
      <c r="C146" s="5" t="s">
        <v>32</v>
      </c>
      <c r="D146" s="5" t="s">
        <v>246</v>
      </c>
      <c r="E146" s="5" t="s">
        <v>240</v>
      </c>
      <c r="F146" s="5" t="s">
        <v>256</v>
      </c>
      <c r="G146" s="4" t="s">
        <v>66</v>
      </c>
      <c r="H146" s="6" t="s">
        <v>260</v>
      </c>
      <c r="I146" s="6" t="s">
        <v>66</v>
      </c>
      <c r="J146" s="5" t="s">
        <v>66</v>
      </c>
    </row>
    <row r="147" ht="26.4" spans="1:10">
      <c r="A147" s="4">
        <v>143</v>
      </c>
      <c r="B147" s="5" t="s">
        <v>244</v>
      </c>
      <c r="C147" s="5" t="s">
        <v>32</v>
      </c>
      <c r="D147" s="5" t="s">
        <v>246</v>
      </c>
      <c r="E147" s="5" t="s">
        <v>241</v>
      </c>
      <c r="F147" s="5" t="s">
        <v>257</v>
      </c>
      <c r="G147" s="4" t="s">
        <v>370</v>
      </c>
      <c r="H147" s="6" t="s">
        <v>260</v>
      </c>
      <c r="I147" s="6" t="s">
        <v>66</v>
      </c>
      <c r="J147" s="5" t="s">
        <v>66</v>
      </c>
    </row>
    <row r="148" ht="26.4" spans="1:10">
      <c r="A148" s="4">
        <v>144</v>
      </c>
      <c r="B148" s="5" t="s">
        <v>244</v>
      </c>
      <c r="C148" s="5" t="s">
        <v>32</v>
      </c>
      <c r="D148" s="5" t="s">
        <v>246</v>
      </c>
      <c r="E148" s="5" t="s">
        <v>242</v>
      </c>
      <c r="F148" s="5" t="s">
        <v>557</v>
      </c>
      <c r="G148" s="4" t="s">
        <v>343</v>
      </c>
      <c r="H148" s="6" t="s">
        <v>260</v>
      </c>
      <c r="I148" s="6" t="s">
        <v>66</v>
      </c>
      <c r="J148" s="5" t="s">
        <v>66</v>
      </c>
    </row>
    <row r="149" ht="34.2" spans="1:10">
      <c r="A149" s="4">
        <v>145</v>
      </c>
      <c r="B149" s="5" t="s">
        <v>261</v>
      </c>
      <c r="C149" s="5" t="s">
        <v>32</v>
      </c>
      <c r="D149" s="5" t="s">
        <v>263</v>
      </c>
      <c r="E149" s="5" t="s">
        <v>232</v>
      </c>
      <c r="F149" s="5" t="s">
        <v>558</v>
      </c>
      <c r="G149" s="4" t="s">
        <v>312</v>
      </c>
      <c r="H149" s="6" t="s">
        <v>559</v>
      </c>
      <c r="I149" s="6" t="s">
        <v>560</v>
      </c>
      <c r="J149" s="5" t="s">
        <v>66</v>
      </c>
    </row>
    <row r="150" ht="34.2" spans="1:10">
      <c r="A150" s="4">
        <v>146</v>
      </c>
      <c r="B150" s="5" t="s">
        <v>261</v>
      </c>
      <c r="C150" s="5" t="s">
        <v>32</v>
      </c>
      <c r="D150" s="5" t="s">
        <v>263</v>
      </c>
      <c r="E150" s="5" t="s">
        <v>233</v>
      </c>
      <c r="F150" s="5" t="s">
        <v>266</v>
      </c>
      <c r="G150" s="4" t="s">
        <v>66</v>
      </c>
      <c r="H150" s="6" t="s">
        <v>559</v>
      </c>
      <c r="I150" s="6" t="s">
        <v>560</v>
      </c>
      <c r="J150" s="5" t="s">
        <v>66</v>
      </c>
    </row>
    <row r="151" ht="26.4" spans="1:10">
      <c r="A151" s="4">
        <v>147</v>
      </c>
      <c r="B151" s="5" t="s">
        <v>261</v>
      </c>
      <c r="C151" s="5" t="s">
        <v>32</v>
      </c>
      <c r="D151" s="5" t="s">
        <v>263</v>
      </c>
      <c r="E151" s="5" t="s">
        <v>234</v>
      </c>
      <c r="F151" s="5" t="s">
        <v>561</v>
      </c>
      <c r="G151" s="4" t="s">
        <v>555</v>
      </c>
      <c r="H151" s="6" t="s">
        <v>560</v>
      </c>
      <c r="I151" s="6" t="s">
        <v>66</v>
      </c>
      <c r="J151" s="5" t="s">
        <v>562</v>
      </c>
    </row>
    <row r="152" ht="39.6" spans="1:10">
      <c r="A152" s="4">
        <v>148</v>
      </c>
      <c r="B152" s="5" t="s">
        <v>261</v>
      </c>
      <c r="C152" s="5" t="s">
        <v>32</v>
      </c>
      <c r="D152" s="5" t="s">
        <v>263</v>
      </c>
      <c r="E152" s="5" t="s">
        <v>235</v>
      </c>
      <c r="F152" s="5" t="s">
        <v>268</v>
      </c>
      <c r="G152" s="4" t="s">
        <v>66</v>
      </c>
      <c r="H152" s="6" t="s">
        <v>563</v>
      </c>
      <c r="I152" s="6" t="s">
        <v>564</v>
      </c>
      <c r="J152" s="5" t="s">
        <v>565</v>
      </c>
    </row>
    <row r="153" ht="34.2" spans="1:10">
      <c r="A153" s="4">
        <v>149</v>
      </c>
      <c r="B153" s="5" t="s">
        <v>261</v>
      </c>
      <c r="C153" s="5" t="s">
        <v>32</v>
      </c>
      <c r="D153" s="5" t="s">
        <v>263</v>
      </c>
      <c r="E153" s="5" t="s">
        <v>236</v>
      </c>
      <c r="F153" s="5" t="s">
        <v>269</v>
      </c>
      <c r="G153" s="4" t="s">
        <v>66</v>
      </c>
      <c r="H153" s="6" t="s">
        <v>563</v>
      </c>
      <c r="I153" s="6" t="s">
        <v>560</v>
      </c>
      <c r="J153" s="5" t="s">
        <v>66</v>
      </c>
    </row>
    <row r="154" ht="39.6" spans="1:10">
      <c r="A154" s="4">
        <v>150</v>
      </c>
      <c r="B154" s="5" t="s">
        <v>261</v>
      </c>
      <c r="C154" s="5" t="s">
        <v>32</v>
      </c>
      <c r="D154" s="5" t="s">
        <v>263</v>
      </c>
      <c r="E154" s="5" t="s">
        <v>237</v>
      </c>
      <c r="F154" s="5" t="s">
        <v>270</v>
      </c>
      <c r="G154" s="4" t="s">
        <v>556</v>
      </c>
      <c r="H154" s="6" t="s">
        <v>560</v>
      </c>
      <c r="I154" s="6" t="s">
        <v>566</v>
      </c>
      <c r="J154" s="5" t="s">
        <v>567</v>
      </c>
    </row>
    <row r="155" ht="34.2" spans="1:10">
      <c r="A155" s="4">
        <v>151</v>
      </c>
      <c r="B155" s="5" t="s">
        <v>261</v>
      </c>
      <c r="C155" s="5" t="s">
        <v>32</v>
      </c>
      <c r="D155" s="5" t="s">
        <v>263</v>
      </c>
      <c r="E155" s="5" t="s">
        <v>238</v>
      </c>
      <c r="F155" s="5" t="s">
        <v>271</v>
      </c>
      <c r="G155" s="4" t="s">
        <v>66</v>
      </c>
      <c r="H155" s="6" t="s">
        <v>563</v>
      </c>
      <c r="I155" s="6" t="s">
        <v>560</v>
      </c>
      <c r="J155" s="5" t="s">
        <v>66</v>
      </c>
    </row>
    <row r="156" ht="34.2" spans="1:10">
      <c r="A156" s="4">
        <v>152</v>
      </c>
      <c r="B156" s="5" t="s">
        <v>261</v>
      </c>
      <c r="C156" s="5" t="s">
        <v>32</v>
      </c>
      <c r="D156" s="5" t="s">
        <v>263</v>
      </c>
      <c r="E156" s="5" t="s">
        <v>243</v>
      </c>
      <c r="F156" s="5" t="s">
        <v>273</v>
      </c>
      <c r="G156" s="4" t="s">
        <v>66</v>
      </c>
      <c r="H156" s="6" t="s">
        <v>563</v>
      </c>
      <c r="I156" s="6" t="s">
        <v>560</v>
      </c>
      <c r="J156" s="5" t="s">
        <v>66</v>
      </c>
    </row>
    <row r="157" ht="34.2" spans="1:10">
      <c r="A157" s="4">
        <v>153</v>
      </c>
      <c r="B157" s="5" t="s">
        <v>261</v>
      </c>
      <c r="C157" s="5" t="s">
        <v>32</v>
      </c>
      <c r="D157" s="5" t="s">
        <v>263</v>
      </c>
      <c r="E157" s="5" t="s">
        <v>240</v>
      </c>
      <c r="F157" s="5" t="s">
        <v>272</v>
      </c>
      <c r="G157" s="4" t="s">
        <v>66</v>
      </c>
      <c r="H157" s="6" t="s">
        <v>563</v>
      </c>
      <c r="I157" s="6" t="s">
        <v>560</v>
      </c>
      <c r="J157" s="5" t="s">
        <v>66</v>
      </c>
    </row>
    <row r="158" ht="34.2" spans="1:10">
      <c r="A158" s="4">
        <v>154</v>
      </c>
      <c r="B158" s="5" t="s">
        <v>261</v>
      </c>
      <c r="C158" s="5" t="s">
        <v>32</v>
      </c>
      <c r="D158" s="5" t="s">
        <v>263</v>
      </c>
      <c r="E158" s="5" t="s">
        <v>91</v>
      </c>
      <c r="F158" s="5" t="s">
        <v>274</v>
      </c>
      <c r="G158" s="4" t="s">
        <v>66</v>
      </c>
      <c r="H158" s="6" t="s">
        <v>560</v>
      </c>
      <c r="I158" s="6" t="s">
        <v>568</v>
      </c>
      <c r="J158" s="5" t="s">
        <v>66</v>
      </c>
    </row>
    <row r="159" ht="26.4" spans="1:10">
      <c r="A159" s="4">
        <v>155</v>
      </c>
      <c r="B159" s="5" t="s">
        <v>278</v>
      </c>
      <c r="C159" s="5" t="s">
        <v>34</v>
      </c>
      <c r="D159" s="5" t="s">
        <v>280</v>
      </c>
      <c r="E159" s="5" t="s">
        <v>569</v>
      </c>
      <c r="F159" s="5" t="s">
        <v>570</v>
      </c>
      <c r="G159" s="4" t="s">
        <v>66</v>
      </c>
      <c r="H159" s="6" t="s">
        <v>284</v>
      </c>
      <c r="I159" s="6" t="s">
        <v>571</v>
      </c>
      <c r="J159" s="5" t="s">
        <v>66</v>
      </c>
    </row>
    <row r="160" ht="26.4" spans="1:10">
      <c r="A160" s="4">
        <v>156</v>
      </c>
      <c r="B160" s="5" t="s">
        <v>278</v>
      </c>
      <c r="C160" s="5" t="s">
        <v>34</v>
      </c>
      <c r="D160" s="5" t="s">
        <v>280</v>
      </c>
      <c r="E160" s="5" t="s">
        <v>572</v>
      </c>
      <c r="F160" s="5" t="s">
        <v>573</v>
      </c>
      <c r="G160" s="4" t="s">
        <v>66</v>
      </c>
      <c r="H160" s="6" t="s">
        <v>284</v>
      </c>
      <c r="I160" s="6" t="s">
        <v>66</v>
      </c>
      <c r="J160" s="5" t="s">
        <v>66</v>
      </c>
    </row>
    <row r="161" ht="26.4" spans="1:10">
      <c r="A161" s="4">
        <v>157</v>
      </c>
      <c r="B161" s="5" t="s">
        <v>278</v>
      </c>
      <c r="C161" s="5" t="s">
        <v>34</v>
      </c>
      <c r="D161" s="5" t="s">
        <v>280</v>
      </c>
      <c r="E161" s="5" t="s">
        <v>574</v>
      </c>
      <c r="F161" s="5" t="s">
        <v>575</v>
      </c>
      <c r="G161" s="4" t="s">
        <v>66</v>
      </c>
      <c r="H161" s="6" t="s">
        <v>284</v>
      </c>
      <c r="I161" s="6" t="s">
        <v>571</v>
      </c>
      <c r="J161" s="5" t="s">
        <v>576</v>
      </c>
    </row>
    <row r="162" ht="39.6" spans="1:10">
      <c r="A162" s="4">
        <v>158</v>
      </c>
      <c r="B162" s="5" t="s">
        <v>278</v>
      </c>
      <c r="C162" s="5" t="s">
        <v>34</v>
      </c>
      <c r="D162" s="5" t="s">
        <v>280</v>
      </c>
      <c r="E162" s="5" t="s">
        <v>87</v>
      </c>
      <c r="F162" s="5" t="s">
        <v>577</v>
      </c>
      <c r="G162" s="4" t="s">
        <v>578</v>
      </c>
      <c r="H162" s="6" t="s">
        <v>284</v>
      </c>
      <c r="I162" s="6" t="s">
        <v>571</v>
      </c>
      <c r="J162" s="5" t="s">
        <v>579</v>
      </c>
    </row>
    <row r="163" ht="26.4" spans="1:10">
      <c r="A163" s="4">
        <v>159</v>
      </c>
      <c r="B163" s="5" t="s">
        <v>278</v>
      </c>
      <c r="C163" s="5" t="s">
        <v>34</v>
      </c>
      <c r="D163" s="5" t="s">
        <v>280</v>
      </c>
      <c r="E163" s="5" t="s">
        <v>580</v>
      </c>
      <c r="F163" s="5" t="s">
        <v>581</v>
      </c>
      <c r="G163" s="4" t="s">
        <v>66</v>
      </c>
      <c r="H163" s="6" t="s">
        <v>284</v>
      </c>
      <c r="I163" s="6" t="s">
        <v>66</v>
      </c>
      <c r="J163" s="5" t="s">
        <v>66</v>
      </c>
    </row>
    <row r="164" ht="26.4" spans="1:10">
      <c r="A164" s="4">
        <v>160</v>
      </c>
      <c r="B164" s="5" t="s">
        <v>278</v>
      </c>
      <c r="C164" s="5" t="s">
        <v>34</v>
      </c>
      <c r="D164" s="5" t="s">
        <v>280</v>
      </c>
      <c r="E164" s="5" t="s">
        <v>582</v>
      </c>
      <c r="F164" s="5" t="s">
        <v>583</v>
      </c>
      <c r="G164" s="4" t="s">
        <v>66</v>
      </c>
      <c r="H164" s="6" t="s">
        <v>284</v>
      </c>
      <c r="I164" s="6" t="s">
        <v>66</v>
      </c>
      <c r="J164" s="5" t="s">
        <v>66</v>
      </c>
    </row>
    <row r="165" ht="26.4" spans="1:10">
      <c r="A165" s="4">
        <v>161</v>
      </c>
      <c r="B165" s="5" t="s">
        <v>278</v>
      </c>
      <c r="C165" s="5" t="s">
        <v>34</v>
      </c>
      <c r="D165" s="5" t="s">
        <v>280</v>
      </c>
      <c r="E165" s="5" t="s">
        <v>538</v>
      </c>
      <c r="F165" s="5" t="s">
        <v>584</v>
      </c>
      <c r="G165" s="4" t="s">
        <v>343</v>
      </c>
      <c r="H165" s="6" t="s">
        <v>284</v>
      </c>
      <c r="I165" s="6" t="s">
        <v>571</v>
      </c>
      <c r="J165" s="5" t="s">
        <v>66</v>
      </c>
    </row>
    <row r="166" ht="26.4" spans="1:10">
      <c r="A166" s="4">
        <v>162</v>
      </c>
      <c r="B166" s="5" t="s">
        <v>285</v>
      </c>
      <c r="C166" s="5" t="s">
        <v>34</v>
      </c>
      <c r="D166" s="5" t="s">
        <v>287</v>
      </c>
      <c r="E166" s="5" t="s">
        <v>585</v>
      </c>
      <c r="F166" s="5" t="s">
        <v>586</v>
      </c>
      <c r="G166" s="4" t="s">
        <v>587</v>
      </c>
      <c r="H166" s="6" t="s">
        <v>588</v>
      </c>
      <c r="I166" s="6" t="s">
        <v>66</v>
      </c>
      <c r="J166" s="5" t="s">
        <v>66</v>
      </c>
    </row>
    <row r="167" ht="26.4" spans="1:10">
      <c r="A167" s="4">
        <v>163</v>
      </c>
      <c r="B167" s="5" t="s">
        <v>285</v>
      </c>
      <c r="C167" s="5" t="s">
        <v>34</v>
      </c>
      <c r="D167" s="5" t="s">
        <v>287</v>
      </c>
      <c r="E167" s="5" t="s">
        <v>574</v>
      </c>
      <c r="F167" s="5" t="s">
        <v>589</v>
      </c>
      <c r="G167" s="4" t="s">
        <v>66</v>
      </c>
      <c r="H167" s="6" t="s">
        <v>588</v>
      </c>
      <c r="I167" s="6" t="s">
        <v>66</v>
      </c>
      <c r="J167" s="5" t="s">
        <v>66</v>
      </c>
    </row>
    <row r="168" ht="26.4" spans="1:10">
      <c r="A168" s="4">
        <v>164</v>
      </c>
      <c r="B168" s="5" t="s">
        <v>285</v>
      </c>
      <c r="C168" s="5" t="s">
        <v>34</v>
      </c>
      <c r="D168" s="5" t="s">
        <v>287</v>
      </c>
      <c r="E168" s="5" t="s">
        <v>590</v>
      </c>
      <c r="F168" s="5" t="s">
        <v>591</v>
      </c>
      <c r="G168" s="4" t="s">
        <v>66</v>
      </c>
      <c r="H168" s="6" t="s">
        <v>588</v>
      </c>
      <c r="I168" s="6" t="s">
        <v>66</v>
      </c>
      <c r="J168" s="5" t="s">
        <v>66</v>
      </c>
    </row>
    <row r="169" ht="26.4" spans="1:10">
      <c r="A169" s="4">
        <v>165</v>
      </c>
      <c r="B169" s="5" t="s">
        <v>285</v>
      </c>
      <c r="C169" s="5" t="s">
        <v>34</v>
      </c>
      <c r="D169" s="5" t="s">
        <v>287</v>
      </c>
      <c r="E169" s="5" t="s">
        <v>87</v>
      </c>
      <c r="F169" s="5" t="s">
        <v>592</v>
      </c>
      <c r="G169" s="4" t="s">
        <v>578</v>
      </c>
      <c r="H169" s="6" t="s">
        <v>588</v>
      </c>
      <c r="I169" s="6" t="s">
        <v>66</v>
      </c>
      <c r="J169" s="5" t="s">
        <v>66</v>
      </c>
    </row>
    <row r="170" ht="26.4" spans="1:10">
      <c r="A170" s="4">
        <v>166</v>
      </c>
      <c r="B170" s="5" t="s">
        <v>285</v>
      </c>
      <c r="C170" s="5" t="s">
        <v>34</v>
      </c>
      <c r="D170" s="5" t="s">
        <v>287</v>
      </c>
      <c r="E170" s="5" t="s">
        <v>593</v>
      </c>
      <c r="F170" s="5" t="s">
        <v>594</v>
      </c>
      <c r="G170" s="4" t="s">
        <v>595</v>
      </c>
      <c r="H170" s="6" t="s">
        <v>588</v>
      </c>
      <c r="I170" s="6" t="s">
        <v>66</v>
      </c>
      <c r="J170" s="5" t="s">
        <v>66</v>
      </c>
    </row>
    <row r="171" ht="26.4" spans="1:10">
      <c r="A171" s="4">
        <v>167</v>
      </c>
      <c r="B171" s="5" t="s">
        <v>285</v>
      </c>
      <c r="C171" s="5" t="s">
        <v>34</v>
      </c>
      <c r="D171" s="5" t="s">
        <v>287</v>
      </c>
      <c r="E171" s="5" t="s">
        <v>582</v>
      </c>
      <c r="F171" s="5" t="s">
        <v>596</v>
      </c>
      <c r="G171" s="4" t="s">
        <v>66</v>
      </c>
      <c r="H171" s="6" t="s">
        <v>588</v>
      </c>
      <c r="I171" s="6" t="s">
        <v>66</v>
      </c>
      <c r="J171" s="5" t="s">
        <v>66</v>
      </c>
    </row>
    <row r="172" ht="26.4" spans="1:10">
      <c r="A172" s="4">
        <v>168</v>
      </c>
      <c r="B172" s="5" t="s">
        <v>285</v>
      </c>
      <c r="C172" s="5" t="s">
        <v>34</v>
      </c>
      <c r="D172" s="5" t="s">
        <v>287</v>
      </c>
      <c r="E172" s="5" t="s">
        <v>597</v>
      </c>
      <c r="F172" s="5" t="s">
        <v>598</v>
      </c>
      <c r="G172" s="4" t="s">
        <v>66</v>
      </c>
      <c r="H172" s="6" t="s">
        <v>599</v>
      </c>
      <c r="I172" s="6" t="s">
        <v>66</v>
      </c>
      <c r="J172" s="5" t="s">
        <v>66</v>
      </c>
    </row>
    <row r="173" ht="52.8" spans="1:10">
      <c r="A173" s="4">
        <v>169</v>
      </c>
      <c r="B173" s="5" t="s">
        <v>292</v>
      </c>
      <c r="C173" s="5" t="s">
        <v>34</v>
      </c>
      <c r="D173" s="5" t="s">
        <v>294</v>
      </c>
      <c r="E173" s="5" t="s">
        <v>600</v>
      </c>
      <c r="F173" s="5" t="s">
        <v>601</v>
      </c>
      <c r="G173" s="4" t="s">
        <v>343</v>
      </c>
      <c r="H173" s="6" t="s">
        <v>298</v>
      </c>
      <c r="I173" s="6" t="s">
        <v>602</v>
      </c>
      <c r="J173" s="5" t="s">
        <v>603</v>
      </c>
    </row>
    <row r="174" ht="26.4" spans="1:10">
      <c r="A174" s="4">
        <v>170</v>
      </c>
      <c r="B174" s="5" t="s">
        <v>292</v>
      </c>
      <c r="C174" s="5" t="s">
        <v>34</v>
      </c>
      <c r="D174" s="5" t="s">
        <v>294</v>
      </c>
      <c r="E174" s="5" t="s">
        <v>574</v>
      </c>
      <c r="F174" s="5" t="s">
        <v>604</v>
      </c>
      <c r="G174" s="4" t="s">
        <v>66</v>
      </c>
      <c r="H174" s="6" t="s">
        <v>298</v>
      </c>
      <c r="I174" s="6" t="s">
        <v>602</v>
      </c>
      <c r="J174" s="5" t="s">
        <v>605</v>
      </c>
    </row>
    <row r="175" ht="26.4" spans="1:10">
      <c r="A175" s="4">
        <v>171</v>
      </c>
      <c r="B175" s="5" t="s">
        <v>292</v>
      </c>
      <c r="C175" s="5" t="s">
        <v>34</v>
      </c>
      <c r="D175" s="5" t="s">
        <v>294</v>
      </c>
      <c r="E175" s="5" t="s">
        <v>606</v>
      </c>
      <c r="F175" s="5" t="s">
        <v>607</v>
      </c>
      <c r="G175" s="4" t="s">
        <v>66</v>
      </c>
      <c r="H175" s="6" t="s">
        <v>298</v>
      </c>
      <c r="I175" s="6" t="s">
        <v>602</v>
      </c>
      <c r="J175" s="5" t="s">
        <v>608</v>
      </c>
    </row>
  </sheetData>
  <autoFilter xmlns:etc="http://www.wps.cn/officeDocument/2017/etCustomData" ref="A4:J175" etc:filterBottomFollowUsedRange="0">
    <extLst/>
  </autoFilter>
  <pageMargins left="0.75" right="0.75" top="1" bottom="1" header="0.5" footer="0.5"/>
  <pageSetup paperSize="1" fitToHeight="0" orientation="landscape"/>
  <headerFooter>
    <oddFooter>&amp;C&amp;"Arial"&amp;8 Tài liệu nội bộ — Công ty Demo SME — dùng cho mục đích minh hoạ đồ án&amp;R&amp;"Arial"&amp;8 Trang &amp;P/&amp;N</oddFooter>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8</vt:i4>
      </vt:variant>
    </vt:vector>
  </HeadingPairs>
  <TitlesOfParts>
    <vt:vector size="8" baseType="lpstr">
      <vt:lpstr>Thông tin</vt:lpstr>
      <vt:lpstr>Tổng hợp</vt:lpstr>
      <vt:lpstr>Laptop</vt:lpstr>
      <vt:lpstr>PC</vt:lpstr>
      <vt:lpstr>Linh kiện</vt:lpstr>
      <vt:lpstr>Màn hình</vt:lpstr>
      <vt:lpstr>Phụ kiện</vt:lpstr>
      <vt:lpstr>Chi tiết thông số</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2026-10-26T06:51:00Z</dcterms:created>
  <dcterms:modified xsi:type="dcterms:W3CDTF">2026-10-26T06:51:58Z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7A1E1C1F52BE445796431580E49F7605_12</vt:lpwstr>
  </property>
  <property fmtid="{D5CDD505-2E9C-101B-9397-08002B2CF9AE}" pid="3" name="KSOProductBuildVer">
    <vt:lpwstr>1033-12.1.0.29162</vt:lpwstr>
  </property>
  <property fmtid="{D5CDD505-2E9C-101B-9397-08002B2CF9AE}" pid="4" name="CalculationRule">
    <vt:i4>0</vt:i4>
  </property>
</Properties>
</file>