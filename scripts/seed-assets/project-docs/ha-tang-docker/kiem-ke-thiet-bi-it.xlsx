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bookViews>
  <sheets>
    <sheet name="Thông tin" sheetId="1" r:id="rId1"/>
    <sheet name="Tổng hợp" sheetId="2" r:id="rId2"/>
    <sheet name="Kiểm kê" sheetId="3" r:id="rId3"/>
    <sheet name="Danh mục thiết bị" sheetId="4" r:id="rId4"/>
    <sheet name="Tham số" sheetId="5" r:id="rId5"/>
  </sheets>
  <definedNames>
    <definedName name="_xlnm._FilterDatabase" localSheetId="2" hidden="1">'Kiểm kê'!$A$4:$P$36</definedName>
    <definedName name="_xlnm._FilterDatabase" localSheetId="3" hidden="1">'Danh mục thiết bị'!$A$4:$I$23</definedName>
    <definedName name="DS_SKU">'Danh mục thiết bị'!$A$5:$A$23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<sst xmlns="http://schemas.openxmlformats.org/spreadsheetml/2006/main" count="531" uniqueCount="301">
  <si>
    <t>Bảng kiểm kê thiết bị IT nội bộ</t>
  </si>
  <si>
    <t>Dự án</t>
  </si>
  <si>
    <t>Nâng cấp hạ tầng Docker</t>
  </si>
  <si>
    <t>Nền tảng</t>
  </si>
  <si>
    <t>ECAP — nền tảng cộng tác và phân tích dữ liệu cho doanh nghiệp vừa và nhỏ</t>
  </si>
  <si>
    <t>Đơn vị</t>
  </si>
  <si>
    <t>Công ty Demo SME (kinh doanh máy tính, linh kiện và phụ kiện)</t>
  </si>
  <si>
    <t>Người đọc</t>
  </si>
  <si>
    <t>Quản trị IT, quản lý kho</t>
  </si>
  <si>
    <t>Phiên bản</t>
  </si>
  <si>
    <t>1.0</t>
  </si>
  <si>
    <t>Ngày phát hành</t>
  </si>
  <si>
    <t>Phân loại</t>
  </si>
  <si>
    <t>Tài liệu nội bộ — Công ty Demo SME — dùng cho mục đích minh hoạ đồ án</t>
  </si>
  <si>
    <t>Số liệu</t>
  </si>
  <si>
    <t>Serial, ngày cấp, tình trạng và thời hạn bảo hành nội bộ là số liệu minh hoạ.</t>
  </si>
  <si>
    <t>Chú giải</t>
  </si>
  <si>
    <t>Giá trị mẫu</t>
  </si>
  <si>
    <t>Ô nhập liệu (nền vàng, chữ xanh): người dùng được sửa hoặc nhập mới; mọi công thức tự tính lại.</t>
  </si>
  <si>
    <t>Công thức</t>
  </si>
  <si>
    <t>Ô công thức (nền trắng, chữ đen): tính tự động, không nhập đè.</t>
  </si>
  <si>
    <t>Tiêu đề</t>
  </si>
  <si>
    <t>Dòng tiêu đề bảng: đã cố định (freeze) và bật bộ lọc.</t>
  </si>
  <si>
    <t>Cấu trúc workbook</t>
  </si>
  <si>
    <t>Tổng hợp</t>
  </si>
  <si>
    <t>Số thiết bị theo phòng ban × tình trạng, theo danh mục và theo tình trạng bảo hành (COUNTIFS/SUMIFS), kèm biểu đồ.</t>
  </si>
  <si>
    <t>Kiểm kê</t>
  </si>
  <si>
    <t>Mỗi dòng một tài sản đã cấp; tên, danh mục, bảo hành, hạn bảo hành và giá trị tra từ Danh mục thiết bị bằng INDEX/MATCH.</t>
  </si>
  <si>
    <t>Danh mục thiết bị</t>
  </si>
  <si>
    <t>19 SKU trong kho kèm đơn giá tham khảo, thời hạn bảo hành nội bộ và thông số chính có nguồn.</t>
  </si>
  <si>
    <t>Tham số</t>
  </si>
  <si>
    <t>Ngày kiểm kê, ngưỡng cảnh báo sắp hết bảo hành và danh sách giá trị cho ô chọn.</t>
  </si>
  <si>
    <t>Giả định và nguồn dữ liệu</t>
  </si>
  <si>
    <t>1.</t>
  </si>
  <si>
    <t>SKU, tên sản phẩm, danh mục và đơn giá lấy từ dữ liệu mẫu kho của ECAP (scripts/seed-inventory.js); thông số chính lấy từ bộ dữ liệu đã kiểm chứng, có ghi nguồn.</t>
  </si>
  <si>
    <t>2.</t>
  </si>
  <si>
    <t>Người sử dụng và phòng ban (Kinh doanh, Kỹ thuật, Marketing, Nhân sự) lấy theo nhân viên demo trong scripts/seed.js; phân bổ thiết bị là minh hoạ.</t>
  </si>
  <si>
    <t>3.</t>
  </si>
  <si>
    <t>Số serial, ngày cấp, tình trạng và ghi chú sự cố là số liệu minh hoạ (serial có tiền tố DEMO, không phải serial thật).</t>
  </si>
  <si>
    <t>4.</t>
  </si>
  <si>
    <t>Thời hạn bảo hành nội bộ theo danh mục (Laptop/PC 24 tháng, Linh kiện/Màn hình 36 tháng, Phụ kiện 12 tháng) là giả định minh hoạ, không phải bảo hành của hãng; sửa ở sheet Danh mục thiết bị.</t>
  </si>
  <si>
    <t>5.</t>
  </si>
  <si>
    <t>Hạn bảo hành = EDATE(Ngày cấp; số tháng bảo hành). "Sắp hết hạn" khi còn không quá số ngày ngưỡng ở sheet Tham số (mặc định 90 ngày).</t>
  </si>
  <si>
    <t>6.</t>
  </si>
  <si>
    <t>Màn hình cong BenQ và vỏ case ATX là cấu hình tham khảo (chưa xác nhận đúng model). RAM Kingston là kit 2x2 GB, không phải 2x4 GB như tên trong kho.</t>
  </si>
  <si>
    <t>7.</t>
  </si>
  <si>
    <t>Máy chủ thử nghiệm Docker được lắp từ linh kiện trong kho (CPU, bo mạch, tản nhiệt, SSD, nguồn, vỏ); các linh kiện được ghi thành từng dòng tài sản. RAM DDR4 desktop mua ngoài vì kho chỉ có RAM DDR2 SO-DIMM cho laptop, nên không có trong bảng này.</t>
  </si>
  <si>
    <t>Tổng hợp kiểm kê thiết bị IT</t>
  </si>
  <si>
    <t>Toàn bộ số liệu là công thức COUNTIFS/SUMIFS từ sheet Kiểm kê.</t>
  </si>
  <si>
    <t>1. Số thiết bị theo phòng ban và tình trạng</t>
  </si>
  <si>
    <t>Phòng ban</t>
  </si>
  <si>
    <t>Đang sử dụng</t>
  </si>
  <si>
    <t>Dự phòng</t>
  </si>
  <si>
    <t>Đang sửa chữa</t>
  </si>
  <si>
    <t>Chờ thanh lý</t>
  </si>
  <si>
    <t>Tổng thiết bị</t>
  </si>
  <si>
    <t>Giá trị tham khảo (VND)</t>
  </si>
  <si>
    <t>Kinh doanh</t>
  </si>
  <si>
    <t>Kỹ thuật</t>
  </si>
  <si>
    <t>Marketing</t>
  </si>
  <si>
    <t>Nhân sự</t>
  </si>
  <si>
    <t>Tổng cộng</t>
  </si>
  <si>
    <t>Kiểm tra</t>
  </si>
  <si>
    <t>2. Theo danh mục</t>
  </si>
  <si>
    <t>Danh mục</t>
  </si>
  <si>
    <t>Số thiết bị</t>
  </si>
  <si>
    <t>Tỷ lệ đang sử dụng</t>
  </si>
  <si>
    <t>Laptop</t>
  </si>
  <si>
    <t>PC để bàn</t>
  </si>
  <si>
    <t>Linh kiện PC</t>
  </si>
  <si>
    <t>Màn hình</t>
  </si>
  <si>
    <t>Phụ kiện</t>
  </si>
  <si>
    <t>3. Tình trạng bảo hành (so với ngày kiểm kê)</t>
  </si>
  <si>
    <t>Tình trạng bảo hành</t>
  </si>
  <si>
    <t>Tỷ lệ</t>
  </si>
  <si>
    <t>Ghi chú</t>
  </si>
  <si>
    <t>Còn hạn</t>
  </si>
  <si>
    <t>Còn trên ngưỡng cảnh báo</t>
  </si>
  <si>
    <t>Sắp hết hạn</t>
  </si>
  <si>
    <t>Còn không quá số ngày ngưỡng (sheet Tham số)</t>
  </si>
  <si>
    <t>Hết hạn</t>
  </si>
  <si>
    <t>Đã quá hạn bảo hành nội bộ</t>
  </si>
  <si>
    <t/>
  </si>
  <si>
    <t>Ngày kiểm kê</t>
  </si>
  <si>
    <t>Danh sách tài sản IT đã cấp phát</t>
  </si>
  <si>
    <t>Ô vàng là dữ liệu nhập; cột C, D, J–M, O là công thức.</t>
  </si>
  <si>
    <t>Mã tài sản</t>
  </si>
  <si>
    <t>SKU</t>
  </si>
  <si>
    <t>Tên thiết bị</t>
  </si>
  <si>
    <t>Số serial (minh hoạ)</t>
  </si>
  <si>
    <t>Người sử dụng</t>
  </si>
  <si>
    <t>Vị trí</t>
  </si>
  <si>
    <t>Ngày cấp</t>
  </si>
  <si>
    <t>Bảo hành (tháng)</t>
  </si>
  <si>
    <t>Hạn bảo hành</t>
  </si>
  <si>
    <t>Số ngày còn lại</t>
  </si>
  <si>
    <t>Tình trạng thiết bị</t>
  </si>
  <si>
    <t>TS-001</t>
  </si>
  <si>
    <t>LAP-LENOVO-T460</t>
  </si>
  <si>
    <t>DEMO-LAP-250001</t>
  </si>
  <si>
    <t>Nguyễn Văn An</t>
  </si>
  <si>
    <t>Văn phòng Hà Nội</t>
  </si>
  <si>
    <t>TS-002</t>
  </si>
  <si>
    <t>MOUSE-PROTOARC-WIRELESS</t>
  </si>
  <si>
    <t>DEMO-MOUSE-250002</t>
  </si>
  <si>
    <t>TS-003</t>
  </si>
  <si>
    <t>HEADSET-CREATIVE-SBX-H5</t>
  </si>
  <si>
    <t>DEMO-HEADSET-250003</t>
  </si>
  <si>
    <t>Dùng cho gọi tư vấn khách hàng</t>
  </si>
  <si>
    <t>TS-004</t>
  </si>
  <si>
    <t>PC-GAMING-FRACTAL-TUF</t>
  </si>
  <si>
    <t>DEMO-PC-250004</t>
  </si>
  <si>
    <t>Trần Thị Bình</t>
  </si>
  <si>
    <t>Máy dựng và kiểm thử ứng dụng</t>
  </si>
  <si>
    <t>TS-005</t>
  </si>
  <si>
    <t>MON-BENQ-CURVEDGAMING</t>
  </si>
  <si>
    <t>DEMO-MON-250005</t>
  </si>
  <si>
    <t>Model màn hình là cấu hình tham khảo</t>
  </si>
  <si>
    <t>TS-006</t>
  </si>
  <si>
    <t>KB-KEYCHRON-K4</t>
  </si>
  <si>
    <t>DEMO-KB-250006</t>
  </si>
  <si>
    <t>TS-007</t>
  </si>
  <si>
    <t>PC-OFFICE-OPTIPLEX9020</t>
  </si>
  <si>
    <t>DEMO-PC-240007</t>
  </si>
  <si>
    <t>Lê Văn Chi</t>
  </si>
  <si>
    <t>TS-008</t>
  </si>
  <si>
    <t>MON-SAMSUNG-SYNCMASTER940B</t>
  </si>
  <si>
    <t>DEMO-MON-240008</t>
  </si>
  <si>
    <t>TS-009</t>
  </si>
  <si>
    <t>DEMO-MOUSE-240009</t>
  </si>
  <si>
    <t>TS-010</t>
  </si>
  <si>
    <t>LAP-HP-ENVY14</t>
  </si>
  <si>
    <t>DEMO-LAP-250010</t>
  </si>
  <si>
    <t>Phạm Thị Dung</t>
  </si>
  <si>
    <t>Thiết kế ấn phẩm, dựng video ngắn</t>
  </si>
  <si>
    <t>TS-011</t>
  </si>
  <si>
    <t>DEMO-MON-250011</t>
  </si>
  <si>
    <t>Cổng HDMI chập chờn, đã gửi bảo hành (minh hoạ)</t>
  </si>
  <si>
    <t>TS-012</t>
  </si>
  <si>
    <t>DEMO-MOUSE-250012</t>
  </si>
  <si>
    <t>TS-013</t>
  </si>
  <si>
    <t>DEMO-LAP-240013</t>
  </si>
  <si>
    <t>Hoàng Văn Đức</t>
  </si>
  <si>
    <t>TS-014</t>
  </si>
  <si>
    <t>DEMO-HEADSET-240014</t>
  </si>
  <si>
    <t>TS-015</t>
  </si>
  <si>
    <t>DEMO-PC-240015</t>
  </si>
  <si>
    <t>Vũ Thị Em</t>
  </si>
  <si>
    <t>TS-016</t>
  </si>
  <si>
    <t>DEMO-MON-240016</t>
  </si>
  <si>
    <t>TS-017</t>
  </si>
  <si>
    <t>DEMO-KB-260017</t>
  </si>
  <si>
    <t>TS-018</t>
  </si>
  <si>
    <t>LAP-DELL-XPSM1330</t>
  </si>
  <si>
    <t>DEMO-LAP-230018</t>
  </si>
  <si>
    <t>Đỗ Văn Phong</t>
  </si>
  <si>
    <t>Kho Hà Nội</t>
  </si>
  <si>
    <t>Máy đời 2007, đã thu hồi, thay bằng TS-019</t>
  </si>
  <si>
    <t>TS-019</t>
  </si>
  <si>
    <t>DEMO-PC-260019</t>
  </si>
  <si>
    <t>Thay thế TS-018</t>
  </si>
  <si>
    <t>TS-020</t>
  </si>
  <si>
    <t>DEMO-LAP-250020</t>
  </si>
  <si>
    <t>Ngô Thị Giang</t>
  </si>
  <si>
    <t>TS-021</t>
  </si>
  <si>
    <t>DEMO-HEADSET-250021</t>
  </si>
  <si>
    <t>TS-022</t>
  </si>
  <si>
    <t>DEMO-KB-250022</t>
  </si>
  <si>
    <t>TS-023</t>
  </si>
  <si>
    <t>CPU-INTEL-I9-9900K</t>
  </si>
  <si>
    <t>DEMO-CPU-260023</t>
  </si>
  <si>
    <t>Máy chủ thử nghiệm Docker (dùng chung)</t>
  </si>
  <si>
    <t>Phòng máy chủ Hà Nội</t>
  </si>
  <si>
    <t>Socket LGA1151, lắp cùng bo mạch Z390-F; RAM DDR4 desktop của máy chủ mua ngoài, không thuộc danh mục kho</t>
  </si>
  <si>
    <t>TS-024</t>
  </si>
  <si>
    <t>MB-ASUS-ROG-STRIXZ390F</t>
  </si>
  <si>
    <t>DEMO-MB-260024</t>
  </si>
  <si>
    <t>TS-025</t>
  </si>
  <si>
    <t>COOLER-ARCTIC-FREEZER13</t>
  </si>
  <si>
    <t>DEMO-COOLER-260025</t>
  </si>
  <si>
    <t>Hỗ trợ socket Intel 1151</t>
  </si>
  <si>
    <t>TS-026</t>
  </si>
  <si>
    <t>SSD-SAMSUNG-870QVO-8TB</t>
  </si>
  <si>
    <t>DEMO-SSD-260026</t>
  </si>
  <si>
    <t>Lưu image và volume Docker</t>
  </si>
  <si>
    <t>TS-027</t>
  </si>
  <si>
    <t>PSU-OCZ-600W</t>
  </si>
  <si>
    <t>DEMO-PSU-260027</t>
  </si>
  <si>
    <t>TS-028</t>
  </si>
  <si>
    <t>CASE-ATX-GAMING</t>
  </si>
  <si>
    <t>DEMO-CASE-260028</t>
  </si>
  <si>
    <t>Model vỏ là cấu hình tham khảo</t>
  </si>
  <si>
    <t>TS-029</t>
  </si>
  <si>
    <t>CPU-AMD-R9-3900X</t>
  </si>
  <si>
    <t>DEMO-CPU-260029</t>
  </si>
  <si>
    <t>Kho IT (dự phòng)</t>
  </si>
  <si>
    <t>TS-030</t>
  </si>
  <si>
    <t>GPU-MSI-RTX3070-VENTUS3X</t>
  </si>
  <si>
    <t>DEMO-GPU-260030</t>
  </si>
  <si>
    <t>MSI khuyến nghị nguồn 650 W, không dùng chung nguồn OCZ 600 W</t>
  </si>
  <si>
    <t>TS-031</t>
  </si>
  <si>
    <t>RAM-KINGSTON-HYPERX-SODIMM</t>
  </si>
  <si>
    <t>DEMO-RAM-260031</t>
  </si>
  <si>
    <t>Kit 2x2 GB DDR2 SO-DIMM (không phải 2x4 GB); hợp laptop đời cũ như XPS M1330, không lắp được T460 (DDR3L)</t>
  </si>
  <si>
    <t>TS-032</t>
  </si>
  <si>
    <t>DEMO-LAP-260032</t>
  </si>
  <si>
    <t>Kho Hồ Chí Minh</t>
  </si>
  <si>
    <t>Máy dự phòng cho chi nhánh TP.HCM</t>
  </si>
  <si>
    <t>Danh mục thiết bị trong kho</t>
  </si>
  <si>
    <t>Đơn giá và bảo hành nội bộ là số liệu minh hoạ; thông số chính có nguồn ở cột cuối.</t>
  </si>
  <si>
    <t>Model xác định</t>
  </si>
  <si>
    <t>Đơn giá tham khảo (VND)</t>
  </si>
  <si>
    <t>Bảo hành nội bộ (tháng)</t>
  </si>
  <si>
    <t>Mức xác minh</t>
  </si>
  <si>
    <t>Thông số chính</t>
  </si>
  <si>
    <t>Nguồn</t>
  </si>
  <si>
    <t>Laptop Dell XPS M1330</t>
  </si>
  <si>
    <t>Dell XPS M1330 (13.3", 2007-2008)</t>
  </si>
  <si>
    <t>Đã xác minh</t>
  </si>
  <si>
    <t>CPU: Intel Core 2 Duo, tuỳ cấu hình (vd. T7300 2.0 GHz; bản Penryn 2008: T9300 2.5 GHz); Chipset: Intel PM965 (Crestline) + ICH8M; RAM: 1-2 GB DDR2-667 (tuỳ cấu hình), tối đa 4 GB</t>
  </si>
  <si>
    <t>https://www.notebookcheck.net/Dell-XPS-M1330.5463.0.html
https://www.laptopmag.com/reviews/laptops/dell-xps-m1330-penryn</t>
  </si>
  <si>
    <t>Laptop Lenovo ThinkPad T460</t>
  </si>
  <si>
    <t>Lenovo ThinkPad T460 (2016, Intel Core thế hệ 6)</t>
  </si>
  <si>
    <t>CPU: Intel Core i3-6100U / i5-6200U / i5-6300U / i7-6500U / i7-6600U (2 nhân 4 luồng); RAM: Tối đa 32 GB DDR3L-1600, 2 khe SO-DIMM, dual-channel; Lưu trữ: SSD SATA, SSD PCIe NVMe (PCIe 3.0 x2), HDD 2,5" hoặc SSHD (tuỳ cấu hình)</t>
  </si>
  <si>
    <t>https://psref.lenovo.com/syspool/Sys/PDF/ThinkPad/ThinkPad_T460/ThinkPad_T460_Spec.PDF
https://pcper.com/2016/01/ces-2016-lenovo-announces-thinkpad-t460-series-notebooks/</t>
  </si>
  <si>
    <t>Laptop HP Envy 14</t>
  </si>
  <si>
    <t>HP ENVY Laptop 14-eb0021TX (Core i7-1165G7, GTX 1650 Ti Max-Q)</t>
  </si>
  <si>
    <t>Đã đối chiếu — model suy luận</t>
  </si>
  <si>
    <t>CPU: Intel Core i7-1165G7, 4 nhân 8 luồng, 2,8-4,7 GHz; RAM: 16 GB DDR4-3200; Lưu trữ: SSD PCIe NVMe 1 TB</t>
  </si>
  <si>
    <t>https://www.notebookcheck.net/HP-Envy-14-eb0021tx.602559.0.html
https://windowscentral.com/hp-unveils-new-envy-14-intel-11th-gen-chips-and-dedicated-nvidia-gtx-1650-graphics</t>
  </si>
  <si>
    <t>PC Gaming Fractal Design TUF Edition</t>
  </si>
  <si>
    <t>PC gaming lắp ráp: vỏ Fractal Design Focus G (Petrol Blue) với linh kiện ASUS TUF Gaming</t>
  </si>
  <si>
    <t>Kiểu dáng: Vỏ ATX Mid Tower (hỗ trợ ATX / Micro-ATX / Mini-ITX), 7 khe mở rộng; Tuỳ chọn CPU: AMD Ryzen socket AM4 (nhìn thấy tản AMD Wraith Prism; chưa xác định model CPU); Đồ hoạ (GPU): ASUS Cerberus GeForce GTX (model cụ thể chưa xác định)</t>
  </si>
  <si>
    <t>https://www.fractal-design.com/products/cases/focus/focus-g/white/
Ảnh sản phẩm trong kho (pc-gaming-fractal-tuf.webp): nhãn, tem nhìn thấy trên ảnh</t>
  </si>
  <si>
    <t>PC Văn phòng Dell OptiPlex 9020</t>
  </si>
  <si>
    <t>Dell OptiPlex 9020 Small Form Factor (SFF)</t>
  </si>
  <si>
    <t>Tuỳ chọn CPU: Intel Core i7/i5 thế hệ 4 (4 nhân, 84 W), Core i3 / Pentium (2 nhân); socket LGA1150; Chipset: Intel Q87 Express; RAM tối đa: 32 GB DDR3-1600 non-ECC, 4 khe DIMM, dual-channel</t>
  </si>
  <si>
    <t>https://i.dell.com/sites/csdocuments/Corporate_secure_Documents/en/OptiPlex-9020-micro-spec.PDF</t>
  </si>
  <si>
    <t>CPU Intel Core i9-9900K</t>
  </si>
  <si>
    <t>Intel Core i9-9900K (Coffee Lake Refresh)</t>
  </si>
  <si>
    <t>Nhân/Luồng: 8 / 16; Xung cơ bản: 3,60 GHz; Xung tăng tốc: 5,00 (Max Turbo) (đơn vị: GHz)</t>
  </si>
  <si>
    <t>https://www.intel.com/content/www/us/en/products/sku/186605/intel-core-i99900k-processor-16m-cache-up-to-5-00-ghz/specifications.html</t>
  </si>
  <si>
    <t>CPU AMD Ryzen 9 3900X</t>
  </si>
  <si>
    <t>AMD Ryzen 9 3900X (Zen 2 "Matisse")</t>
  </si>
  <si>
    <t>Nhân/Luồng: 12 / 24; Xung cơ bản: 3,8 GHz; Xung tăng tốc: tối đa 4,6 (đơn vị: GHz)</t>
  </si>
  <si>
    <t>https://www.amd.com/en/products/processors/desktops/ryzen/3000-series/amd-ryzen-9-3900x.html
https://techpowerup.com/cpu-specs/ryzen-9-3900x.c2128</t>
  </si>
  <si>
    <t>RAM Laptop Kingston HyperX SO-DIMM (Kit 2x4GB)</t>
  </si>
  <si>
    <t>Kingston HyperX KHX6400S2ULK2/4G (kit 2x2 GB DDR2-800 SO-DIMM)</t>
  </si>
  <si>
    <t>Loại: DDR2 SO-DIMM 200 chân, non-ECC unbuffered, 2Rx8; Dung lượng kit: 4 GB (2 x 2 GB); Tốc độ: DDR2-800 (PC2-6400); profile phụ DDR2-667 (đơn vị: MT/s)</t>
  </si>
  <si>
    <t>https://www.kingston.com/dataSheets/KHX6400S2ULK2_4G.pdf
Ảnh sản phẩm trong kho (ram-kingston-hyperx-sodimm.webp): nhãn, tem nhìn thấy trên ảnh</t>
  </si>
  <si>
    <t>SSD Samsung 870 QVO 8TB</t>
  </si>
  <si>
    <t>Samsung 870 QVO 8TB (MZ-77Q8T0)</t>
  </si>
  <si>
    <t>Dung lượng: 8 TB; Giao tiếp: SATA 6 Gb/s (tương thích 3 / 1,5 Gb/s); Kiểu dáng: 2,5 inch, 100 x 69,85 x 6,8 mm, khoảng 57 g</t>
  </si>
  <si>
    <t>https://www.samsung.com/ca/memory-storage/870-qvo-sata-3-2-5-ssd/MZ-77Q8T0BAM
https://www.samsung.com/sg/business/memory-storage/sata-ssd/870-qvo-sata-3-2-5-ssd-mz-77q8t0bw/</t>
  </si>
  <si>
    <t>Card đồ họa MSI GeForce RTX 3070 Ventus 3X OC</t>
  </si>
  <si>
    <t>MSI GeForce RTX 3070 VENTUS 3X OC (bản gốc 2020, không LHR)</t>
  </si>
  <si>
    <t>Chip đồ hoạ: NVIDIA GA104-300 (Ampere), 5888 CUDA cores; VRAM: 8 GB GDDR6, 256-bit, 14 Gbps; Xung tăng tốc: 1755 MHz</t>
  </si>
  <si>
    <t>https://www.notebookcheck.net/NVIDIA-GeForce-RTX-3070-confirmed-to-be-using-the-GA104-300-GPU.496247.0.html
https://www.msi.com/Graphics-Card/GeForce-RTX-3070-VENTUS-3X-OC/Specification</t>
  </si>
  <si>
    <t>Bo mạch chủ ASUS ROG Strix Z390-F Gaming</t>
  </si>
  <si>
    <t>ASUS ROG STRIX Z390-F GAMING</t>
  </si>
  <si>
    <t>Socket: LGA1151 (Intel Core thế hệ 8/9); Chipset: Intel Z390; Kiểu dáng: ATX, 30,5 x 24,4 cm</t>
  </si>
  <si>
    <t>https://rog.asus.com/motherboards/rog-strix/rog-strix-z390-f-gaming-model/spec/</t>
  </si>
  <si>
    <t>Nguồn máy tính OCZ 600W</t>
  </si>
  <si>
    <t>OCZ ModXStream Pro 600W (OCZ600MXSP)</t>
  </si>
  <si>
    <t>Công suất: 600 W; Hiệu suất: 80 PLUS (mức tiêu chuẩn/White); Kiểu dây: Bán module: dây 24-pin, ATX12V, EPS12V cố định; dây PCIe/SATA/Molex/FDD tháo rời</t>
  </si>
  <si>
    <t>Ảnh sản phẩm trong kho (psu-ocz-600w.webp): nhãn, tem nhìn thấy trên ảnh
https://www.buildcores.com/products/PSU/r7djvf1l6/OCZ-ModXStream-Pro-600W-Semi-Modular-80%2B</t>
  </si>
  <si>
    <t>Case Gaming ATX</t>
  </si>
  <si>
    <t>Fractal Design Define R5 (Black)</t>
  </si>
  <si>
    <t>Cấu hình tham khảo</t>
  </si>
  <si>
    <t>Mainboard hỗ trợ: ATX / Micro-ATX / Mini-ITX, 7 khe mở rộng; Quạt kèm theo: 2x Fractal Dynamic GP-14 140 mm (1 trước, 1 sau); Vị trí quạt: Trước 2, trên 3, hông 1, đáy 2, sau 1 (120/140 mm)</t>
  </si>
  <si>
    <t>https://www.fractal-design.com/products/cases/define/define-r5/black/</t>
  </si>
  <si>
    <t>Tản nhiệt khí Arctic Freezer 13</t>
  </si>
  <si>
    <t>ARCTIC Freezer 13</t>
  </si>
  <si>
    <t>Socket hỗ trợ: Intel 1150, 1151, 1155, 1156, 1366, 775; AMD AM4, AM3(+), AM2(+), FM2(+), FM1; Ống dẫn nhiệt: 3 ống chữ U Ø6 mm, đi xuyên hai bên khối tản (6 đầu ống), theo bảng thông số hiện hành (r6, 2018); bản đầu năm 2010 dùng 4 ống chữ U Ø6 mm; Quạt: 92 mm PWM, 600-2000 RPM, bạc đạn Fluid Dynamic, 0,5 sone</t>
  </si>
  <si>
    <t>https://arctic.de/media/fe/5f/d1/1584104671/spec_sheet_Freezer_13_180302_r6_EN.pdf</t>
  </si>
  <si>
    <t>Màn hình Gaming cong BenQ</t>
  </si>
  <si>
    <t>BenQ MOBIUZ EX3210R (31,5", 1000R, 165 Hz)</t>
  </si>
  <si>
    <t>Kích thước: 31,5 inch; Độ phân giải: 2560x1440 (QHD), 92 PPI; Tần số quét: 165 Hz</t>
  </si>
  <si>
    <t>https://www.benq.com/en-ph/monitor/gaming/ex3210r/spec.html</t>
  </si>
  <si>
    <t>Màn hình Samsung SyncMaster 940B</t>
  </si>
  <si>
    <t>Samsung SyncMaster 940B (mã LS19HABTSQ theo Icecat)</t>
  </si>
  <si>
    <t>Kích thước: 19 (48,3 cm), tỉ lệ 5:4 (đơn vị: inch); Độ phân giải: 1280x1024; Tần số quét: 60 (tần số khuyến nghị ở 1280x1024; datasheet Samsung không ghi tần số tối đa) (đơn vị: Hz)</t>
  </si>
  <si>
    <t>https://icecat.ro/p/samsung/ls19habtsq/computer+monitors-syncmaster+940b-328228.html
https://images10.newegg.com/UploadFilesForNewegg/itemintelligence/Samsung/24-001-066/940b-black-ds.pdf</t>
  </si>
  <si>
    <t>Bàn phím cơ Keychron K4</t>
  </si>
  <si>
    <t>Keychron K4 Wireless Mechanical Keyboard (Version 2, RGB, ANSI)</t>
  </si>
  <si>
    <t>Bố cục: 96%, 100 phím, ANSI (US), có cụm phím số; Switch: Gateron Red / Blue / Brown (có bản hot-swap); Kết nối: Bluetooth 5.1 (tối đa 3 thiết bị) + có dây USB Type-C</t>
  </si>
  <si>
    <t>https://keychron.be/products/keychron-k4-wireless-mechanical-keyboard-version-2</t>
  </si>
  <si>
    <t>Chuột không dây ProtoArc</t>
  </si>
  <si>
    <t>ProtoArc EM15 Compact Portable Wireless Mouse (Black)</t>
  </si>
  <si>
    <t>dpi: 1000 / 1600 / 2400 (3 mức) (đơn vị: DPI); Kết nối: Bluetooth (BLE) + đầu thu không dây USB-A và USB-C (kèm theo); tối đa 3 thiết bị; tầm 10 m; Nút bấm: Trái, phải, con lăn, DPI, nút chuyển thiết bị, 2 nút bên (tiến/lùi); nút trái phải bấm êm</t>
  </si>
  <si>
    <t>https://www.protoarc.com/products/em15-usb-c-wireless-mouse
https://www.protoarc.com/collections/portable-mice</t>
  </si>
  <si>
    <t>Tai nghe Creative Sound BlasterX H5</t>
  </si>
  <si>
    <t>Creative Sound BlasterX H5 (bản tiêu chuẩn, analog 3,5 mm)</t>
  </si>
  <si>
    <t>Driver loa: 50 mm neodymium (FullSpectrum), 20 Hz-20 kHz, 32 Ω, 118 dB/mW; Kết nối: Có dây jack 3,5 mm 4 cực, cáp bện 1,2 m có điều khiển; kèm cáp chia tai nghe/mic; Micro: Condenser một hướng, lọc ồn, tháo rời được; 100 Hz-15 kHz, -40 dB</t>
  </si>
  <si>
    <t>https://asia.creative.com/p/gaming-headsets/sound-blasterx-h5</t>
  </si>
  <si>
    <t>Tham số kiểm kê</t>
  </si>
  <si>
    <t>Ô vàng là ô nhập liệu.</t>
  </si>
  <si>
    <t>Giá trị</t>
  </si>
  <si>
    <t>Mốc so sánh hạn bảo hành</t>
  </si>
  <si>
    <t>Ngưỡng sắp hết bảo hành (ngày)</t>
  </si>
  <si>
    <t>Giả định minh hoạ</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</si>
</sst>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dd/mm/yyyy"/>
    <numFmt numFmtId="179" formatCode="#,##0;\(#,##0\);&quot;-&quot;"/>
    <numFmt numFmtId="180" formatCode="#,##0;\-#,##0;0"/>
    <numFmt numFmtId="181" formatCode="0.0%;\(0.0%\);&quot;-&quot;"/>
  </numFmts>
  <fonts count="29">
    <font>
      <sz val="10"/>
      <name val="Arial"/>
      <charset val="134"/>
    </font>
    <font>
      <b/>
      <sz val="14"/>
      <color rgb="FF1F4E78"/>
      <name val="Arial"/>
      <charset val="134"/>
    </font>
    <font>
      <i/>
      <sz val="9"/>
      <color rgb="FF595959"/>
      <name val="Arial"/>
      <charset val="134"/>
    </font>
    <font>
      <b/>
      <sz val="10"/>
      <color rgb="FFFFFFFF"/>
      <name val="Arial"/>
      <charset val="134"/>
    </font>
    <font>
      <b/>
      <sz val="10"/>
      <color rgb="FF000000"/>
      <name val="Arial"/>
      <charset val="134"/>
    </font>
    <font>
      <sz val="10"/>
      <color rgb="FF0000FF"/>
      <name val="Arial"/>
      <charset val="134"/>
    </font>
    <font>
      <sz val="10"/>
      <color rgb="FF000000"/>
      <name val="Arial"/>
      <charset val="134"/>
    </font>
    <font>
      <sz val="9"/>
      <color rgb="FF1F4E78"/>
      <name val="Arial"/>
      <charset val="134"/>
    </font>
    <font>
      <b/>
      <sz val="10"/>
      <color rgb="FFC00000"/>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7">
    <fill>
      <patternFill patternType="none"/>
    </fill>
    <fill>
      <patternFill patternType="gray125"/>
    </fill>
    <fill>
      <patternFill patternType="solid">
        <fgColor rgb="FF1F4E78"/>
        <bgColor indexed="64"/>
      </patternFill>
    </fill>
    <fill>
      <patternFill patternType="solid">
        <fgColor rgb="FFFFFF99"/>
        <bgColor indexed="64"/>
      </patternFill>
    </fill>
    <fill>
      <patternFill patternType="solid">
        <fgColor rgb="FFEDEDED"/>
        <bgColor indexed="64"/>
      </patternFill>
    </fill>
    <fill>
      <patternFill patternType="solid">
        <fgColor rgb="FFD9E2F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177"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6" borderId="4"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5" applyNumberFormat="0" applyFill="0" applyAlignment="0" applyProtection="0">
      <alignment vertical="center"/>
    </xf>
    <xf numFmtId="0" fontId="16" fillId="0" borderId="5" applyNumberFormat="0" applyFill="0" applyAlignment="0" applyProtection="0">
      <alignment vertical="center"/>
    </xf>
    <xf numFmtId="0" fontId="17" fillId="0" borderId="6" applyNumberFormat="0" applyFill="0" applyAlignment="0" applyProtection="0">
      <alignment vertical="center"/>
    </xf>
    <xf numFmtId="0" fontId="17" fillId="0" borderId="0" applyNumberFormat="0" applyFill="0" applyBorder="0" applyAlignment="0" applyProtection="0">
      <alignment vertical="center"/>
    </xf>
    <xf numFmtId="0" fontId="18" fillId="7" borderId="7" applyNumberFormat="0" applyAlignment="0" applyProtection="0">
      <alignment vertical="center"/>
    </xf>
    <xf numFmtId="0" fontId="19" fillId="8" borderId="8" applyNumberFormat="0" applyAlignment="0" applyProtection="0">
      <alignment vertical="center"/>
    </xf>
    <xf numFmtId="0" fontId="20" fillId="8" borderId="7" applyNumberFormat="0" applyAlignment="0" applyProtection="0">
      <alignment vertical="center"/>
    </xf>
    <xf numFmtId="0" fontId="21" fillId="9" borderId="9" applyNumberFormat="0" applyAlignment="0" applyProtection="0">
      <alignment vertical="center"/>
    </xf>
    <xf numFmtId="0" fontId="22" fillId="0" borderId="10" applyNumberFormat="0" applyFill="0" applyAlignment="0" applyProtection="0">
      <alignment vertical="center"/>
    </xf>
    <xf numFmtId="0" fontId="23" fillId="0" borderId="11" applyNumberFormat="0" applyFill="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7" fillId="32" borderId="0" applyNumberFormat="0" applyBorder="0" applyAlignment="0" applyProtection="0">
      <alignment vertical="center"/>
    </xf>
    <xf numFmtId="0" fontId="27" fillId="33" borderId="0" applyNumberFormat="0" applyBorder="0" applyAlignment="0" applyProtection="0">
      <alignment vertical="center"/>
    </xf>
    <xf numFmtId="0" fontId="28" fillId="34" borderId="0" applyNumberFormat="0" applyBorder="0" applyAlignment="0" applyProtection="0">
      <alignment vertical="center"/>
    </xf>
    <xf numFmtId="0" fontId="28" fillId="35" borderId="0" applyNumberFormat="0" applyBorder="0" applyAlignment="0" applyProtection="0">
      <alignment vertical="center"/>
    </xf>
    <xf numFmtId="0" fontId="27" fillId="36" borderId="0" applyNumberFormat="0" applyBorder="0" applyAlignment="0" applyProtection="0">
      <alignment vertical="center"/>
    </xf>
  </cellStyleXfs>
  <cellXfs count="36">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4" fillId="0" borderId="1" xfId="0" applyFont="1" applyBorder="1" applyAlignment="1">
      <alignment vertical="top" wrapText="1"/>
    </xf>
    <xf numFmtId="178" fontId="5" fillId="3" borderId="1" xfId="0" applyNumberFormat="1" applyFont="1" applyFill="1" applyBorder="1" applyAlignment="1">
      <alignment vertical="top" wrapText="1"/>
    </xf>
    <xf numFmtId="0" fontId="6" fillId="0" borderId="1" xfId="0" applyFont="1" applyBorder="1" applyAlignment="1">
      <alignment vertical="top" wrapText="1"/>
    </xf>
    <xf numFmtId="179" fontId="5" fillId="3" borderId="1" xfId="0" applyNumberFormat="1" applyFont="1" applyFill="1" applyBorder="1" applyAlignment="1">
      <alignment vertical="top" wrapText="1"/>
    </xf>
    <xf numFmtId="179" fontId="5" fillId="3" borderId="1" xfId="0" applyNumberFormat="1" applyFont="1" applyFill="1" applyBorder="1" applyAlignment="1">
      <alignment horizontal="center" vertical="top" wrapText="1"/>
    </xf>
    <xf numFmtId="0" fontId="7" fillId="0" borderId="1" xfId="0" applyFont="1" applyBorder="1" applyAlignment="1">
      <alignment vertical="top" wrapText="1"/>
    </xf>
    <xf numFmtId="0" fontId="8" fillId="0" borderId="1" xfId="0" applyFont="1" applyBorder="1" applyAlignment="1">
      <alignment vertical="top" wrapText="1"/>
    </xf>
    <xf numFmtId="0" fontId="6" fillId="0" borderId="1" xfId="0" applyFont="1" applyBorder="1" applyAlignment="1">
      <alignment horizontal="center" vertical="top" wrapText="1"/>
    </xf>
    <xf numFmtId="0" fontId="5" fillId="3" borderId="1" xfId="0" applyFont="1" applyFill="1" applyBorder="1" applyAlignment="1">
      <alignment vertical="top" wrapText="1"/>
    </xf>
    <xf numFmtId="178" fontId="5" fillId="3" borderId="1" xfId="0" applyNumberFormat="1" applyFont="1" applyFill="1" applyBorder="1" applyAlignment="1">
      <alignment horizontal="center" vertical="top" wrapText="1"/>
    </xf>
    <xf numFmtId="179" fontId="6" fillId="0" borderId="1" xfId="0" applyNumberFormat="1" applyFont="1" applyBorder="1" applyAlignment="1">
      <alignment horizontal="center" vertical="top" wrapText="1"/>
    </xf>
    <xf numFmtId="178" fontId="6" fillId="0" borderId="1" xfId="0" applyNumberFormat="1" applyFont="1" applyBorder="1" applyAlignment="1">
      <alignment horizontal="center" vertical="top" wrapText="1"/>
    </xf>
    <xf numFmtId="180" fontId="6" fillId="0" borderId="1" xfId="0" applyNumberFormat="1" applyFont="1" applyBorder="1" applyAlignment="1">
      <alignment horizontal="center" vertical="top" wrapText="1"/>
    </xf>
    <xf numFmtId="179" fontId="6" fillId="0" borderId="1" xfId="0" applyNumberFormat="1" applyFont="1" applyBorder="1" applyAlignment="1">
      <alignment vertical="top" wrapText="1"/>
    </xf>
    <xf numFmtId="0" fontId="4" fillId="0" borderId="0" xfId="0" applyFont="1" applyAlignment="1">
      <alignment vertical="top"/>
    </xf>
    <xf numFmtId="179" fontId="4" fillId="0" borderId="1" xfId="0" applyNumberFormat="1" applyFont="1" applyBorder="1" applyAlignment="1">
      <alignment horizontal="center" vertical="top" wrapText="1"/>
    </xf>
    <xf numFmtId="0" fontId="4" fillId="4" borderId="1" xfId="0" applyFont="1" applyFill="1" applyBorder="1" applyAlignment="1">
      <alignment vertical="top" wrapText="1"/>
    </xf>
    <xf numFmtId="179" fontId="4" fillId="4" borderId="1" xfId="0" applyNumberFormat="1" applyFont="1" applyFill="1" applyBorder="1" applyAlignment="1">
      <alignment horizontal="center" vertical="top" wrapText="1"/>
    </xf>
    <xf numFmtId="179" fontId="4" fillId="4" borderId="1" xfId="0" applyNumberFormat="1" applyFont="1" applyFill="1" applyBorder="1"/>
    <xf numFmtId="0" fontId="2" fillId="0" borderId="1" xfId="0" applyFont="1" applyBorder="1" applyAlignment="1">
      <alignment vertical="top" wrapText="1"/>
    </xf>
    <xf numFmtId="0" fontId="0" fillId="0" borderId="2" xfId="0" applyBorder="1"/>
    <xf numFmtId="0" fontId="0" fillId="0" borderId="3" xfId="0" applyBorder="1"/>
    <xf numFmtId="181" fontId="6" fillId="0" borderId="1" xfId="0" applyNumberFormat="1" applyFont="1" applyBorder="1" applyAlignment="1">
      <alignment horizontal="center" vertical="top" wrapText="1"/>
    </xf>
    <xf numFmtId="181" fontId="4" fillId="4" borderId="1" xfId="0" applyNumberFormat="1" applyFont="1" applyFill="1" applyBorder="1" applyAlignment="1">
      <alignment horizontal="center" vertical="top" wrapText="1"/>
    </xf>
    <xf numFmtId="179" fontId="4" fillId="4" borderId="1" xfId="0" applyNumberFormat="1" applyFont="1" applyFill="1" applyBorder="1" applyAlignment="1">
      <alignment vertical="top" wrapText="1"/>
    </xf>
    <xf numFmtId="0" fontId="6" fillId="4" borderId="1" xfId="0" applyFont="1" applyFill="1" applyBorder="1" applyAlignment="1">
      <alignment vertical="top" wrapText="1"/>
    </xf>
    <xf numFmtId="178" fontId="2" fillId="0" borderId="1" xfId="0" applyNumberFormat="1" applyFont="1" applyBorder="1" applyAlignment="1">
      <alignment vertical="top" wrapText="1"/>
    </xf>
    <xf numFmtId="0" fontId="4" fillId="5" borderId="1" xfId="0" applyFont="1" applyFill="1" applyBorder="1" applyAlignment="1">
      <alignment vertical="top" wrapText="1"/>
    </xf>
    <xf numFmtId="0" fontId="6" fillId="0" borderId="1" xfId="0" applyFont="1" applyBorder="1" applyAlignment="1">
      <alignment horizontal="left" vertical="top" wrapText="1"/>
    </xf>
    <xf numFmtId="178" fontId="6" fillId="0" borderId="1" xfId="0" applyNumberFormat="1" applyFont="1" applyBorder="1" applyAlignment="1">
      <alignment horizontal="left" vertical="top" wrapText="1"/>
    </xf>
    <xf numFmtId="0" fontId="5" fillId="3" borderId="1" xfId="0" applyFont="1" applyFill="1" applyBorder="1" applyAlignment="1">
      <alignment horizontal="center" vertical="top" wrapText="1"/>
    </xf>
    <xf numFmtId="0" fontId="3" fillId="2" borderId="1" xfId="0" applyFont="1" applyFill="1" applyBorder="1" applyAlignment="1">
      <alignment horizontal="center"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r>
              <a:t>Thiết bị theo phòng ban và tình trạng</a:t>
            </a:r>
          </a:p>
        </c:rich>
      </c:tx>
      <c:layout/>
      <c:overlay val="0"/>
    </c:title>
    <c:autoTitleDeleted val="0"/>
    <c:plotArea>
      <c:layout/>
      <c:barChart>
        <c:barDir val="col"/>
        <c:grouping val="stacked"/>
        <c:varyColors val="0"/>
        <c:ser>
          <c:idx val="0"/>
          <c:order val="0"/>
          <c:tx>
            <c:strRef>
              <c:f>'Tổng hợp'!$B$4</c:f>
              <c:strCache>
                <c:ptCount val="1"/>
                <c:pt idx="0">
                  <c:v>Đang sử dụng</c:v>
                </c:pt>
              </c:strCache>
            </c:strRef>
          </c:tx>
          <c:spPr>
            <a:ln w="9525" cap="flat" cmpd="sng" algn="ctr">
              <a:solidFill>
                <a:schemeClr val="lt1">
                  <a:shade val="95000"/>
                  <a:satMod val="105000"/>
                </a:schemeClr>
              </a:solidFill>
              <a:prstDash val="solid"/>
              <a:round/>
            </a:ln>
          </c:spPr>
          <c:invertIfNegative val="0"/>
          <c:dLbls>
            <c:delete val="1"/>
          </c:dLbls>
          <c:cat>
            <c:strRef>
              <c:f>'Tổng hợp'!$A$5:$A$8</c:f>
              <c:strCache>
                <c:ptCount val="4"/>
                <c:pt idx="0">
                  <c:v>Kinh doanh</c:v>
                </c:pt>
                <c:pt idx="1">
                  <c:v>Kỹ thuật</c:v>
                </c:pt>
                <c:pt idx="2">
                  <c:v>Marketing</c:v>
                </c:pt>
                <c:pt idx="3">
                  <c:v>Nhân sự</c:v>
                </c:pt>
              </c:strCache>
            </c:strRef>
          </c:cat>
          <c:val>
            <c:numRef>
              <c:f>'Tổng hợp'!$B$5:$B$8</c:f>
              <c:numCache>
                <c:formatCode>#,##0;\(#,##0\);"-"</c:formatCode>
                <c:ptCount val="4"/>
                <c:pt idx="0">
                  <c:v>5</c:v>
                </c:pt>
                <c:pt idx="1">
                  <c:v>12</c:v>
                </c:pt>
                <c:pt idx="2">
                  <c:v>5</c:v>
                </c:pt>
                <c:pt idx="3">
                  <c:v>4</c:v>
                </c:pt>
              </c:numCache>
            </c:numRef>
          </c:val>
        </c:ser>
        <c:ser>
          <c:idx val="1"/>
          <c:order val="1"/>
          <c:tx>
            <c:strRef>
              <c:f>'Tổng hợp'!$C$4</c:f>
              <c:strCache>
                <c:ptCount val="1"/>
                <c:pt idx="0">
                  <c:v>Dự phòng</c:v>
                </c:pt>
              </c:strCache>
            </c:strRef>
          </c:tx>
          <c:spPr>
            <a:ln w="9525" cap="flat" cmpd="sng" algn="ctr">
              <a:solidFill>
                <a:schemeClr val="lt1">
                  <a:shade val="95000"/>
                  <a:satMod val="105000"/>
                </a:schemeClr>
              </a:solidFill>
              <a:prstDash val="solid"/>
              <a:round/>
            </a:ln>
          </c:spPr>
          <c:invertIfNegative val="0"/>
          <c:dLbls>
            <c:delete val="1"/>
          </c:dLbls>
          <c:cat>
            <c:strRef>
              <c:f>'Tổng hợp'!$A$5:$A$8</c:f>
              <c:strCache>
                <c:ptCount val="4"/>
                <c:pt idx="0">
                  <c:v>Kinh doanh</c:v>
                </c:pt>
                <c:pt idx="1">
                  <c:v>Kỹ thuật</c:v>
                </c:pt>
                <c:pt idx="2">
                  <c:v>Marketing</c:v>
                </c:pt>
                <c:pt idx="3">
                  <c:v>Nhân sự</c:v>
                </c:pt>
              </c:strCache>
            </c:strRef>
          </c:cat>
          <c:val>
            <c:numRef>
              <c:f>'Tổng hợp'!$C$5:$C$8</c:f>
              <c:numCache>
                <c:formatCode>#,##0;\(#,##0\);"-"</c:formatCode>
                <c:ptCount val="4"/>
                <c:pt idx="0">
                  <c:v>0</c:v>
                </c:pt>
                <c:pt idx="1">
                  <c:v>4</c:v>
                </c:pt>
                <c:pt idx="2">
                  <c:v>0</c:v>
                </c:pt>
                <c:pt idx="3">
                  <c:v>0</c:v>
                </c:pt>
              </c:numCache>
            </c:numRef>
          </c:val>
        </c:ser>
        <c:ser>
          <c:idx val="2"/>
          <c:order val="2"/>
          <c:tx>
            <c:strRef>
              <c:f>'Tổng hợp'!$D$4</c:f>
              <c:strCache>
                <c:ptCount val="1"/>
                <c:pt idx="0">
                  <c:v>Đang sửa chữa</c:v>
                </c:pt>
              </c:strCache>
            </c:strRef>
          </c:tx>
          <c:spPr>
            <a:ln w="9525" cap="flat" cmpd="sng" algn="ctr">
              <a:solidFill>
                <a:schemeClr val="lt1">
                  <a:shade val="95000"/>
                  <a:satMod val="105000"/>
                </a:schemeClr>
              </a:solidFill>
              <a:prstDash val="solid"/>
              <a:round/>
            </a:ln>
          </c:spPr>
          <c:invertIfNegative val="0"/>
          <c:dLbls>
            <c:delete val="1"/>
          </c:dLbls>
          <c:cat>
            <c:strRef>
              <c:f>'Tổng hợp'!$A$5:$A$8</c:f>
              <c:strCache>
                <c:ptCount val="4"/>
                <c:pt idx="0">
                  <c:v>Kinh doanh</c:v>
                </c:pt>
                <c:pt idx="1">
                  <c:v>Kỹ thuật</c:v>
                </c:pt>
                <c:pt idx="2">
                  <c:v>Marketing</c:v>
                </c:pt>
                <c:pt idx="3">
                  <c:v>Nhân sự</c:v>
                </c:pt>
              </c:strCache>
            </c:strRef>
          </c:cat>
          <c:val>
            <c:numRef>
              <c:f>'Tổng hợp'!$D$5:$D$8</c:f>
              <c:numCache>
                <c:formatCode>#,##0;\(#,##0\);"-"</c:formatCode>
                <c:ptCount val="4"/>
                <c:pt idx="0">
                  <c:v>0</c:v>
                </c:pt>
                <c:pt idx="1">
                  <c:v>0</c:v>
                </c:pt>
                <c:pt idx="2">
                  <c:v>1</c:v>
                </c:pt>
                <c:pt idx="3">
                  <c:v>0</c:v>
                </c:pt>
              </c:numCache>
            </c:numRef>
          </c:val>
        </c:ser>
        <c:ser>
          <c:idx val="3"/>
          <c:order val="3"/>
          <c:tx>
            <c:strRef>
              <c:f>'Tổng hợp'!$E$4</c:f>
              <c:strCache>
                <c:ptCount val="1"/>
                <c:pt idx="0">
                  <c:v>Chờ thanh lý</c:v>
                </c:pt>
              </c:strCache>
            </c:strRef>
          </c:tx>
          <c:spPr>
            <a:ln w="9525" cap="flat" cmpd="sng" algn="ctr">
              <a:solidFill>
                <a:schemeClr val="lt1">
                  <a:shade val="95000"/>
                  <a:satMod val="105000"/>
                </a:schemeClr>
              </a:solidFill>
              <a:prstDash val="solid"/>
              <a:round/>
            </a:ln>
          </c:spPr>
          <c:invertIfNegative val="0"/>
          <c:dLbls>
            <c:delete val="1"/>
          </c:dLbls>
          <c:cat>
            <c:strRef>
              <c:f>'Tổng hợp'!$A$5:$A$8</c:f>
              <c:strCache>
                <c:ptCount val="4"/>
                <c:pt idx="0">
                  <c:v>Kinh doanh</c:v>
                </c:pt>
                <c:pt idx="1">
                  <c:v>Kỹ thuật</c:v>
                </c:pt>
                <c:pt idx="2">
                  <c:v>Marketing</c:v>
                </c:pt>
                <c:pt idx="3">
                  <c:v>Nhân sự</c:v>
                </c:pt>
              </c:strCache>
            </c:strRef>
          </c:cat>
          <c:val>
            <c:numRef>
              <c:f>'Tổng hợp'!$E$5:$E$8</c:f>
              <c:numCache>
                <c:formatCode>#,##0;\(#,##0\);"-"</c:formatCode>
                <c:ptCount val="4"/>
                <c:pt idx="0">
                  <c:v>0</c:v>
                </c:pt>
                <c:pt idx="1">
                  <c:v>0</c:v>
                </c:pt>
                <c:pt idx="2">
                  <c:v>0</c:v>
                </c:pt>
                <c:pt idx="3">
                  <c:v>1</c:v>
                </c:pt>
              </c:numCache>
            </c:numRef>
          </c:val>
        </c:ser>
        <c:dLbls>
          <c:showLegendKey val="0"/>
          <c:showVal val="0"/>
          <c:showCatName val="0"/>
          <c:showSerName val="0"/>
          <c:showPercent val="0"/>
          <c:showBubbleSize val="0"/>
        </c:dLbls>
        <c:gapWidth val="150"/>
        <c:overlap val="100"/>
        <c:axId val="10"/>
        <c:axId val="100"/>
      </c:barChart>
      <c:catAx>
        <c:axId val="10"/>
        <c:scaling>
          <c:orientation val="minMax"/>
        </c:scaling>
        <c:delete val="0"/>
        <c:axPos val="b"/>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00"/>
        <c:crosses val="autoZero"/>
        <c:auto val="1"/>
        <c:lblAlgn val="ctr"/>
        <c:lblOffset val="100"/>
        <c:noMultiLvlLbl val="0"/>
      </c:catAx>
      <c:valAx>
        <c:axId val="100"/>
        <c:scaling>
          <c:orientation val="minMax"/>
        </c:scaling>
        <c:delete val="0"/>
        <c:axPos val="l"/>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t>Số thiết bị</a:t>
                </a:r>
              </a:p>
            </c:rich>
          </c:tx>
          <c:layout/>
          <c:overlay val="0"/>
        </c:title>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0"/>
        <c:crosses val="autoZero"/>
        <c:crossBetween val="between"/>
      </c:valAx>
    </c:plotArea>
    <c:legend>
      <c:legendPos val="b"/>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5812be40-75f9-4691-9cc6-2e5979bbf8cc}"/>
      </c:ext>
    </c:extLst>
  </c:chart>
  <c:txPr>
    <a:bodyPr/>
    <a:lstStyle/>
    <a:p>
      <a:pPr>
        <a:defRPr lang="en-US"/>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8</xdr:col>
      <xdr:colOff>0</xdr:colOff>
      <xdr:row>2</xdr:row>
      <xdr:rowOff>0</xdr:rowOff>
    </xdr:from>
    <xdr:ext cx="5760000" cy="2965680"/>
    <xdr:graphicFrame>
      <xdr:nvGraphicFramePr>
        <xdr:cNvPr id="2" name="Chart 1"/>
        <xdr:cNvGraphicFramePr/>
      </xdr:nvGraphicFramePr>
      <xdr:xfrm>
        <a:off x="9258300" y="447040"/>
        <a:ext cx="5759450" cy="296545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rial"/>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B30"/>
  <sheetViews>
    <sheetView showGridLines="0" tabSelected="1" workbookViewId="0">
      <selection activeCell="A1" sqref="A1"/>
    </sheetView>
  </sheetViews>
  <sheetFormatPr defaultColWidth="9" defaultRowHeight="13.2" outlineLevelCol="1"/>
  <cols>
    <col min="1" max="1" width="26" customWidth="1"/>
    <col min="2" max="2" width="95" customWidth="1"/>
  </cols>
  <sheetData>
    <row r="1" ht="22" customHeight="1" spans="1:2">
      <c r="A1" s="1" t="s">
        <v>0</v>
      </c>
    </row>
    <row r="3" spans="1:2">
      <c r="A3" s="31" t="s">
        <v>1</v>
      </c>
      <c r="B3" s="32" t="s">
        <v>2</v>
      </c>
    </row>
    <row r="4" spans="1:2">
      <c r="A4" s="31" t="s">
        <v>3</v>
      </c>
      <c r="B4" s="32" t="s">
        <v>4</v>
      </c>
    </row>
    <row r="5" spans="1:2">
      <c r="A5" s="31" t="s">
        <v>5</v>
      </c>
      <c r="B5" s="32" t="s">
        <v>6</v>
      </c>
    </row>
    <row r="6" spans="1:2">
      <c r="A6" s="31" t="s">
        <v>7</v>
      </c>
      <c r="B6" s="32" t="s">
        <v>8</v>
      </c>
    </row>
    <row r="7" spans="1:2">
      <c r="A7" s="31" t="s">
        <v>9</v>
      </c>
      <c r="B7" s="32" t="s">
        <v>10</v>
      </c>
    </row>
    <row r="8" spans="1:2">
      <c r="A8" s="31" t="s">
        <v>11</v>
      </c>
      <c r="B8" s="33">
        <v>46321</v>
      </c>
    </row>
    <row r="9" spans="1:2">
      <c r="A9" s="31" t="s">
        <v>12</v>
      </c>
      <c r="B9" s="32" t="s">
        <v>13</v>
      </c>
    </row>
    <row r="10" spans="1:2">
      <c r="A10" s="31" t="s">
        <v>14</v>
      </c>
      <c r="B10" s="32" t="s">
        <v>15</v>
      </c>
    </row>
    <row r="12" spans="1:2">
      <c r="A12" s="18" t="s">
        <v>16</v>
      </c>
    </row>
    <row r="13" spans="1:2">
      <c r="A13" s="34" t="s">
        <v>17</v>
      </c>
      <c r="B13" s="6" t="s">
        <v>18</v>
      </c>
    </row>
    <row r="14" spans="1:2">
      <c r="A14" s="11" t="s">
        <v>19</v>
      </c>
      <c r="B14" s="6" t="s">
        <v>20</v>
      </c>
    </row>
    <row r="15" spans="1:2">
      <c r="A15" s="35" t="s">
        <v>21</v>
      </c>
      <c r="B15" s="6" t="s">
        <v>22</v>
      </c>
    </row>
    <row r="17" spans="1:2">
      <c r="A17" s="18" t="s">
        <v>23</v>
      </c>
    </row>
    <row r="18" ht="26.4" spans="1:2">
      <c r="A18" s="4" t="s">
        <v>24</v>
      </c>
      <c r="B18" s="6" t="s">
        <v>25</v>
      </c>
    </row>
    <row r="19" ht="26.4" spans="1:2">
      <c r="A19" s="4" t="s">
        <v>26</v>
      </c>
      <c r="B19" s="6" t="s">
        <v>27</v>
      </c>
    </row>
    <row r="20" spans="1:2">
      <c r="A20" s="4" t="s">
        <v>28</v>
      </c>
      <c r="B20" s="6" t="s">
        <v>29</v>
      </c>
    </row>
    <row r="21" spans="1:2">
      <c r="A21" s="4" t="s">
        <v>30</v>
      </c>
      <c r="B21" s="6" t="s">
        <v>31</v>
      </c>
    </row>
    <row r="23" spans="1:2">
      <c r="A23" s="18" t="s">
        <v>32</v>
      </c>
    </row>
    <row r="24" ht="26.4" spans="1:2">
      <c r="A24" s="11" t="s">
        <v>33</v>
      </c>
      <c r="B24" s="6" t="s">
        <v>34</v>
      </c>
    </row>
    <row r="25" ht="26.4" spans="1:2">
      <c r="A25" s="11" t="s">
        <v>35</v>
      </c>
      <c r="B25" s="6" t="s">
        <v>36</v>
      </c>
    </row>
    <row r="26" spans="1:2">
      <c r="A26" s="11" t="s">
        <v>37</v>
      </c>
      <c r="B26" s="6" t="s">
        <v>38</v>
      </c>
    </row>
    <row r="27" ht="26.4" spans="1:2">
      <c r="A27" s="11" t="s">
        <v>39</v>
      </c>
      <c r="B27" s="6" t="s">
        <v>40</v>
      </c>
    </row>
    <row r="28" ht="26.4" spans="1:2">
      <c r="A28" s="11" t="s">
        <v>41</v>
      </c>
      <c r="B28" s="6" t="s">
        <v>42</v>
      </c>
    </row>
    <row r="29" ht="26.4" spans="1:2">
      <c r="A29" s="11" t="s">
        <v>43</v>
      </c>
      <c r="B29" s="6" t="s">
        <v>44</v>
      </c>
    </row>
    <row r="30" ht="39.6" spans="1:2">
      <c r="A30" s="11" t="s">
        <v>45</v>
      </c>
      <c r="B30" s="6" t="s">
        <v>46</v>
      </c>
    </row>
  </sheetData>
  <pageMargins left="0.75" right="0.75" top="1" bottom="1" header="0.5" footer="0.5"/>
  <pageSetup paperSize="1" orientation="landscape"/>
  <headerFooter>
    <oddFooter>&amp;C&amp;"Arial"&amp;8 Tài liệu nội bộ — Công ty Demo SME — dùng cho mục đích minh hoạ đồ án&amp;R&amp;"Arial"&amp;8 Trang &amp;P/&amp;N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G27"/>
  <sheetViews>
    <sheetView workbookViewId="0">
      <pane ySplit="3" topLeftCell="A4" activePane="bottomLeft" state="frozen"/>
      <selection/>
      <selection pane="bottomLeft" activeCell="A1" sqref="A1"/>
    </sheetView>
  </sheetViews>
  <sheetFormatPr defaultColWidth="9" defaultRowHeight="13.2" outlineLevelCol="6"/>
  <cols>
    <col min="1" max="1" width="30" customWidth="1"/>
    <col min="2" max="3" width="14" customWidth="1"/>
    <col min="4" max="4" width="16" customWidth="1"/>
    <col min="5" max="5" width="18" customWidth="1"/>
    <col min="6" max="6" width="14" customWidth="1"/>
    <col min="7" max="7" width="20" customWidth="1"/>
  </cols>
  <sheetData>
    <row r="1" ht="22" customHeight="1" spans="1:7">
      <c r="A1" s="1" t="s">
        <v>47</v>
      </c>
    </row>
    <row r="2" spans="1:7">
      <c r="A2" s="2" t="s">
        <v>48</v>
      </c>
    </row>
    <row r="3" spans="1:7">
      <c r="A3" s="18" t="s">
        <v>49</v>
      </c>
    </row>
    <row r="4" ht="32" customHeight="1" spans="1:7">
      <c r="A4" s="3" t="s">
        <v>50</v>
      </c>
      <c r="B4" s="3" t="s">
        <v>51</v>
      </c>
      <c r="C4" s="3" t="s">
        <v>52</v>
      </c>
      <c r="D4" s="3" t="s">
        <v>53</v>
      </c>
      <c r="E4" s="3" t="s">
        <v>54</v>
      </c>
      <c r="F4" s="3" t="s">
        <v>55</v>
      </c>
      <c r="G4" s="3" t="s">
        <v>56</v>
      </c>
    </row>
    <row r="5" spans="1:7">
      <c r="A5" s="4" t="s">
        <v>57</v>
      </c>
      <c r="B5" s="14">
        <f>COUNTIFS('Kiểm kê'!$G$5:$G$300,$A5,'Kiểm kê'!$N$5:$N$300,B$4)</f>
        <v>5</v>
      </c>
      <c r="C5" s="14">
        <f>COUNTIFS('Kiểm kê'!$G$5:$G$300,$A5,'Kiểm kê'!$N$5:$N$300,C$4)</f>
        <v>0</v>
      </c>
      <c r="D5" s="14">
        <f>COUNTIFS('Kiểm kê'!$G$5:$G$300,$A5,'Kiểm kê'!$N$5:$N$300,D$4)</f>
        <v>0</v>
      </c>
      <c r="E5" s="14">
        <f>COUNTIFS('Kiểm kê'!$G$5:$G$300,$A5,'Kiểm kê'!$N$5:$N$300,E$4)</f>
        <v>0</v>
      </c>
      <c r="F5" s="19">
        <f>SUM(B5:E5)</f>
        <v>5</v>
      </c>
      <c r="G5" s="17">
        <f>SUMIFS('Kiểm kê'!$O$5:$O$300,'Kiểm kê'!$G$5:$G$300,$A5)</f>
        <v>33150000</v>
      </c>
    </row>
    <row r="6" spans="1:7">
      <c r="A6" s="4" t="s">
        <v>58</v>
      </c>
      <c r="B6" s="14">
        <f>COUNTIFS('Kiểm kê'!$G$5:$G$300,$A6,'Kiểm kê'!$N$5:$N$300,B$4)</f>
        <v>12</v>
      </c>
      <c r="C6" s="14">
        <f>COUNTIFS('Kiểm kê'!$G$5:$G$300,$A6,'Kiểm kê'!$N$5:$N$300,C$4)</f>
        <v>4</v>
      </c>
      <c r="D6" s="14">
        <f>COUNTIFS('Kiểm kê'!$G$5:$G$300,$A6,'Kiểm kê'!$N$5:$N$300,D$4)</f>
        <v>0</v>
      </c>
      <c r="E6" s="14">
        <f>COUNTIFS('Kiểm kê'!$G$5:$G$300,$A6,'Kiểm kê'!$N$5:$N$300,E$4)</f>
        <v>0</v>
      </c>
      <c r="F6" s="19">
        <f>SUM(B6:E6)</f>
        <v>16</v>
      </c>
      <c r="G6" s="17">
        <f>SUMIFS('Kiểm kê'!$O$5:$O$300,'Kiểm kê'!$G$5:$G$300,$A6)</f>
        <v>114020000</v>
      </c>
    </row>
    <row r="7" spans="1:7">
      <c r="A7" s="4" t="s">
        <v>59</v>
      </c>
      <c r="B7" s="14">
        <f>COUNTIFS('Kiểm kê'!$G$5:$G$300,$A7,'Kiểm kê'!$N$5:$N$300,B$4)</f>
        <v>5</v>
      </c>
      <c r="C7" s="14">
        <f>COUNTIFS('Kiểm kê'!$G$5:$G$300,$A7,'Kiểm kê'!$N$5:$N$300,C$4)</f>
        <v>0</v>
      </c>
      <c r="D7" s="14">
        <f>COUNTIFS('Kiểm kê'!$G$5:$G$300,$A7,'Kiểm kê'!$N$5:$N$300,D$4)</f>
        <v>1</v>
      </c>
      <c r="E7" s="14">
        <f>COUNTIFS('Kiểm kê'!$G$5:$G$300,$A7,'Kiểm kê'!$N$5:$N$300,E$4)</f>
        <v>0</v>
      </c>
      <c r="F7" s="19">
        <f>SUM(B7:E7)</f>
        <v>6</v>
      </c>
      <c r="G7" s="17">
        <f>SUMIFS('Kiểm kê'!$O$5:$O$300,'Kiểm kê'!$G$5:$G$300,$A7)</f>
        <v>65490000</v>
      </c>
    </row>
    <row r="8" spans="1:7">
      <c r="A8" s="4" t="s">
        <v>60</v>
      </c>
      <c r="B8" s="14">
        <f>COUNTIFS('Kiểm kê'!$G$5:$G$300,$A8,'Kiểm kê'!$N$5:$N$300,B$4)</f>
        <v>4</v>
      </c>
      <c r="C8" s="14">
        <f>COUNTIFS('Kiểm kê'!$G$5:$G$300,$A8,'Kiểm kê'!$N$5:$N$300,C$4)</f>
        <v>0</v>
      </c>
      <c r="D8" s="14">
        <f>COUNTIFS('Kiểm kê'!$G$5:$G$300,$A8,'Kiểm kê'!$N$5:$N$300,D$4)</f>
        <v>0</v>
      </c>
      <c r="E8" s="14">
        <f>COUNTIFS('Kiểm kê'!$G$5:$G$300,$A8,'Kiểm kê'!$N$5:$N$300,E$4)</f>
        <v>1</v>
      </c>
      <c r="F8" s="19">
        <f>SUM(B8:E8)</f>
        <v>5</v>
      </c>
      <c r="G8" s="17">
        <f>SUMIFS('Kiểm kê'!$O$5:$O$300,'Kiểm kê'!$G$5:$G$300,$A8)</f>
        <v>39140000</v>
      </c>
    </row>
    <row r="9" spans="1:7">
      <c r="A9" s="20" t="s">
        <v>61</v>
      </c>
      <c r="B9" s="21">
        <f t="shared" ref="B9:G9" si="0">SUM(B5:B8)</f>
        <v>26</v>
      </c>
      <c r="C9" s="21">
        <f t="shared" si="0"/>
        <v>4</v>
      </c>
      <c r="D9" s="21">
        <f t="shared" si="0"/>
        <v>1</v>
      </c>
      <c r="E9" s="21">
        <f t="shared" si="0"/>
        <v>1</v>
      </c>
      <c r="F9" s="21">
        <f t="shared" si="0"/>
        <v>32</v>
      </c>
      <c r="G9" s="22">
        <f t="shared" si="0"/>
        <v>251800000</v>
      </c>
    </row>
    <row r="10" spans="1:7">
      <c r="A10" s="23" t="s">
        <v>62</v>
      </c>
      <c r="B10" s="23" t="str">
        <f>IF(F9=COUNTA('Kiểm kê'!$A$5:$A$300),"Khớp số dòng kiểm kê","Lệch — kiểm tra phòng ban/tình trạng")</f>
        <v>Khớp số dòng kiểm kê</v>
      </c>
      <c r="C10" s="24"/>
      <c r="D10" s="24"/>
      <c r="E10" s="24"/>
      <c r="F10" s="24"/>
      <c r="G10" s="25"/>
    </row>
    <row r="12" spans="1:7">
      <c r="A12" s="18" t="s">
        <v>63</v>
      </c>
    </row>
    <row r="13" ht="32" customHeight="1" spans="1:7">
      <c r="A13" s="3" t="s">
        <v>64</v>
      </c>
      <c r="B13" s="3" t="s">
        <v>65</v>
      </c>
      <c r="C13" s="3" t="s">
        <v>51</v>
      </c>
      <c r="D13" s="3" t="s">
        <v>66</v>
      </c>
      <c r="E13" s="3" t="s">
        <v>56</v>
      </c>
    </row>
    <row r="14" spans="1:7">
      <c r="A14" s="4" t="s">
        <v>67</v>
      </c>
      <c r="B14" s="14">
        <f>COUNTIFS('Kiểm kê'!$D$5:$D$300,A14)</f>
        <v>6</v>
      </c>
      <c r="C14" s="14">
        <f>COUNTIFS('Kiểm kê'!$D$5:$D$300,A14,'Kiểm kê'!$N$5:$N$300,"Đang sử dụng")</f>
        <v>4</v>
      </c>
      <c r="D14" s="26">
        <f t="shared" ref="D14:D19" si="1">IFERROR(C14/B14,0)</f>
        <v>0.666666666666667</v>
      </c>
      <c r="E14" s="17">
        <f>SUMIFS('Kiểm kê'!$O$5:$O$300,'Kiểm kê'!$D$5:$D$300,A14)</f>
        <v>117400000</v>
      </c>
    </row>
    <row r="15" spans="1:7">
      <c r="A15" s="4" t="s">
        <v>68</v>
      </c>
      <c r="B15" s="14">
        <f>COUNTIFS('Kiểm kê'!$D$5:$D$300,A15)</f>
        <v>4</v>
      </c>
      <c r="C15" s="14">
        <f>COUNTIFS('Kiểm kê'!$D$5:$D$300,A15,'Kiểm kê'!$N$5:$N$300,"Đang sử dụng")</f>
        <v>4</v>
      </c>
      <c r="D15" s="26">
        <f t="shared" si="1"/>
        <v>1</v>
      </c>
      <c r="E15" s="17">
        <f>SUMIFS('Kiểm kê'!$O$5:$O$300,'Kiểm kê'!$D$5:$D$300,A15)</f>
        <v>51200000</v>
      </c>
    </row>
    <row r="16" spans="1:7">
      <c r="A16" s="4" t="s">
        <v>69</v>
      </c>
      <c r="B16" s="14">
        <f>COUNTIFS('Kiểm kê'!$D$5:$D$300,A16)</f>
        <v>9</v>
      </c>
      <c r="C16" s="14">
        <f>COUNTIFS('Kiểm kê'!$D$5:$D$300,A16,'Kiểm kê'!$N$5:$N$300,"Đang sử dụng")</f>
        <v>6</v>
      </c>
      <c r="D16" s="26">
        <f t="shared" si="1"/>
        <v>0.666666666666667</v>
      </c>
      <c r="E16" s="17">
        <f>SUMIFS('Kiểm kê'!$O$5:$O$300,'Kiểm kê'!$D$5:$D$300,A16)</f>
        <v>52050000</v>
      </c>
    </row>
    <row r="17" spans="1:7">
      <c r="A17" s="4" t="s">
        <v>70</v>
      </c>
      <c r="B17" s="14">
        <f>COUNTIFS('Kiểm kê'!$D$5:$D$300,A17)</f>
        <v>4</v>
      </c>
      <c r="C17" s="14">
        <f>COUNTIFS('Kiểm kê'!$D$5:$D$300,A17,'Kiểm kê'!$N$5:$N$300,"Đang sử dụng")</f>
        <v>3</v>
      </c>
      <c r="D17" s="26">
        <f t="shared" si="1"/>
        <v>0.75</v>
      </c>
      <c r="E17" s="17">
        <f>SUMIFS('Kiểm kê'!$O$5:$O$300,'Kiểm kê'!$D$5:$D$300,A17)</f>
        <v>19780000</v>
      </c>
    </row>
    <row r="18" spans="1:7">
      <c r="A18" s="4" t="s">
        <v>71</v>
      </c>
      <c r="B18" s="14">
        <f>COUNTIFS('Kiểm kê'!$D$5:$D$300,A18)</f>
        <v>9</v>
      </c>
      <c r="C18" s="14">
        <f>COUNTIFS('Kiểm kê'!$D$5:$D$300,A18,'Kiểm kê'!$N$5:$N$300,"Đang sử dụng")</f>
        <v>9</v>
      </c>
      <c r="D18" s="26">
        <f t="shared" si="1"/>
        <v>1</v>
      </c>
      <c r="E18" s="17">
        <f>SUMIFS('Kiểm kê'!$O$5:$O$300,'Kiểm kê'!$D$5:$D$300,A18)</f>
        <v>11370000</v>
      </c>
    </row>
    <row r="19" spans="1:7">
      <c r="A19" s="20" t="s">
        <v>61</v>
      </c>
      <c r="B19" s="21">
        <f>SUM(B14:B18)</f>
        <v>32</v>
      </c>
      <c r="C19" s="21">
        <f>SUM(C14:C18)</f>
        <v>26</v>
      </c>
      <c r="D19" s="27">
        <f t="shared" si="1"/>
        <v>0.8125</v>
      </c>
      <c r="E19" s="28">
        <f>SUM(E14:E18)</f>
        <v>251800000</v>
      </c>
    </row>
    <row r="21" spans="1:7">
      <c r="A21" s="18" t="s">
        <v>72</v>
      </c>
    </row>
    <row r="22" ht="32" customHeight="1" spans="1:7">
      <c r="A22" s="3" t="s">
        <v>73</v>
      </c>
      <c r="B22" s="3" t="s">
        <v>65</v>
      </c>
      <c r="C22" s="3" t="s">
        <v>74</v>
      </c>
      <c r="D22" s="3" t="s">
        <v>75</v>
      </c>
      <c r="E22" s="24"/>
      <c r="F22" s="24"/>
      <c r="G22" s="25"/>
    </row>
    <row r="23" spans="1:7">
      <c r="A23" s="4" t="s">
        <v>76</v>
      </c>
      <c r="B23" s="14">
        <f>COUNTIF('Kiểm kê'!$M$5:$M$300,A23)</f>
        <v>19</v>
      </c>
      <c r="C23" s="26">
        <f>IFERROR(B23/$B$26,0)</f>
        <v>0.59375</v>
      </c>
      <c r="D23" s="23" t="s">
        <v>77</v>
      </c>
      <c r="E23" s="24"/>
      <c r="F23" s="24"/>
      <c r="G23" s="25"/>
    </row>
    <row r="24" spans="1:7">
      <c r="A24" s="4" t="s">
        <v>78</v>
      </c>
      <c r="B24" s="14">
        <f>COUNTIF('Kiểm kê'!$M$5:$M$300,A24)</f>
        <v>2</v>
      </c>
      <c r="C24" s="26">
        <f>IFERROR(B24/$B$26,0)</f>
        <v>0.0625</v>
      </c>
      <c r="D24" s="23" t="s">
        <v>79</v>
      </c>
      <c r="E24" s="24"/>
      <c r="F24" s="24"/>
      <c r="G24" s="25"/>
    </row>
    <row r="25" spans="1:7">
      <c r="A25" s="4" t="s">
        <v>80</v>
      </c>
      <c r="B25" s="14">
        <f>COUNTIF('Kiểm kê'!$M$5:$M$300,A25)</f>
        <v>11</v>
      </c>
      <c r="C25" s="26">
        <f>IFERROR(B25/$B$26,0)</f>
        <v>0.34375</v>
      </c>
      <c r="D25" s="23" t="s">
        <v>81</v>
      </c>
      <c r="E25" s="24"/>
      <c r="F25" s="24"/>
      <c r="G25" s="25"/>
    </row>
    <row r="26" spans="1:7">
      <c r="A26" s="20" t="s">
        <v>61</v>
      </c>
      <c r="B26" s="21">
        <f>SUM(B23:B25)</f>
        <v>32</v>
      </c>
      <c r="C26" s="27">
        <f>SUM(C23:C25)</f>
        <v>1</v>
      </c>
      <c r="D26" s="29" t="s">
        <v>82</v>
      </c>
      <c r="E26" s="24"/>
      <c r="F26" s="24"/>
      <c r="G26" s="25"/>
    </row>
    <row r="27" spans="1:7">
      <c r="A27" s="23" t="s">
        <v>83</v>
      </c>
      <c r="B27" s="30">
        <f>'Tham số'!$B$5</f>
        <v>46321</v>
      </c>
    </row>
  </sheetData>
  <mergeCells count="6">
    <mergeCell ref="B10:G10"/>
    <mergeCell ref="D22:G22"/>
    <mergeCell ref="D23:G23"/>
    <mergeCell ref="D24:G24"/>
    <mergeCell ref="D25:G25"/>
    <mergeCell ref="D26:G26"/>
  </mergeCells>
  <pageMargins left="0.75" right="0.75" top="1" bottom="1" header="0.5" footer="0.5"/>
  <pageSetup paperSize="1" fitToHeight="0" orientation="landscape"/>
  <headerFooter>
    <oddFooter>&amp;C&amp;"Arial"&amp;8 Tài liệu nội bộ — Công ty Demo SME — dùng cho mục đích minh hoạ đồ án&amp;R&amp;"Arial"&amp;8 Trang &amp;P/&amp;N</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P36"/>
  <sheetViews>
    <sheetView workbookViewId="0">
      <pane xSplit="2" ySplit="4" topLeftCell="C5" activePane="bottomRight" state="frozen"/>
      <selection/>
      <selection pane="topRight"/>
      <selection pane="bottomLeft"/>
      <selection pane="bottomRight" activeCell="A1" sqref="A1"/>
    </sheetView>
  </sheetViews>
  <sheetFormatPr defaultColWidth="9" defaultRowHeight="13.2"/>
  <cols>
    <col min="1" max="1" width="10" customWidth="1"/>
    <col min="2" max="2" width="27" customWidth="1"/>
    <col min="3" max="3" width="32" customWidth="1"/>
    <col min="4" max="4" width="13" customWidth="1"/>
    <col min="5" max="5" width="20" customWidth="1"/>
    <col min="6" max="6" width="24" customWidth="1"/>
    <col min="7" max="7" width="12" customWidth="1"/>
    <col min="8" max="8" width="18" customWidth="1"/>
    <col min="9" max="9" width="12" customWidth="1"/>
    <col min="10" max="10" width="10" customWidth="1"/>
    <col min="11" max="11" width="12" customWidth="1"/>
    <col min="12" max="12" width="10" customWidth="1"/>
    <col min="13" max="13" width="13" customWidth="1"/>
    <col min="14" max="15" width="15" customWidth="1"/>
    <col min="16" max="16" width="40" customWidth="1"/>
  </cols>
  <sheetData>
    <row r="1" ht="22" customHeight="1" spans="1:16">
      <c r="A1" s="1" t="s">
        <v>84</v>
      </c>
    </row>
    <row r="2" spans="1:16">
      <c r="A2" s="2" t="s">
        <v>85</v>
      </c>
    </row>
    <row r="4" ht="44" customHeight="1" spans="1:16">
      <c r="A4" s="3" t="s">
        <v>86</v>
      </c>
      <c r="B4" s="3" t="s">
        <v>87</v>
      </c>
      <c r="C4" s="3" t="s">
        <v>88</v>
      </c>
      <c r="D4" s="3" t="s">
        <v>64</v>
      </c>
      <c r="E4" s="3" t="s">
        <v>89</v>
      </c>
      <c r="F4" s="3" t="s">
        <v>90</v>
      </c>
      <c r="G4" s="3" t="s">
        <v>50</v>
      </c>
      <c r="H4" s="3" t="s">
        <v>91</v>
      </c>
      <c r="I4" s="3" t="s">
        <v>92</v>
      </c>
      <c r="J4" s="3" t="s">
        <v>93</v>
      </c>
      <c r="K4" s="3" t="s">
        <v>94</v>
      </c>
      <c r="L4" s="3" t="s">
        <v>95</v>
      </c>
      <c r="M4" s="3" t="s">
        <v>73</v>
      </c>
      <c r="N4" s="3" t="s">
        <v>96</v>
      </c>
      <c r="O4" s="3" t="s">
        <v>56</v>
      </c>
      <c r="P4" s="3" t="s">
        <v>75</v>
      </c>
    </row>
    <row r="5" spans="1:16">
      <c r="A5" s="11" t="s">
        <v>97</v>
      </c>
      <c r="B5" s="12" t="s">
        <v>98</v>
      </c>
      <c r="C5" s="6" t="str">
        <f>IFERROR(INDEX('Danh mục thiết bị'!$B$5:$B$53,MATCH(B5,'Danh mục thiết bị'!$A$5:$A$53,0)),"")</f>
        <v>Laptop Lenovo ThinkPad T460</v>
      </c>
      <c r="D5" s="6" t="str">
        <f>IFERROR(INDEX('Danh mục thiết bị'!$C$5:$C$53,MATCH(B5,'Danh mục thiết bị'!$A$5:$A$53,0)),"")</f>
        <v>Laptop</v>
      </c>
      <c r="E5" s="12" t="s">
        <v>99</v>
      </c>
      <c r="F5" s="12" t="s">
        <v>100</v>
      </c>
      <c r="G5" s="12" t="s">
        <v>57</v>
      </c>
      <c r="H5" s="12" t="s">
        <v>101</v>
      </c>
      <c r="I5" s="13">
        <v>45731</v>
      </c>
      <c r="J5" s="14">
        <f>IFERROR(INDEX('Danh mục thiết bị'!$F$5:$F$53,MATCH(B5,'Danh mục thiết bị'!$A$5:$A$53,0)),0)</f>
        <v>24</v>
      </c>
      <c r="K5" s="15">
        <f t="shared" ref="K5:K36" si="0">IF(I5="","",EDATE(I5,J5))</f>
        <v>46461</v>
      </c>
      <c r="L5" s="16">
        <f>IF(K5="","",K5-'Tham số'!$B$5)</f>
        <v>140</v>
      </c>
      <c r="M5" s="11" t="str">
        <f>IF(K5="","",IF(L5&lt;0,"Hết hạn",IF(L5&lt;='Tham số'!$B$6,"Sắp hết hạn","Còn hạn")))</f>
        <v>Còn hạn</v>
      </c>
      <c r="N5" s="12" t="s">
        <v>51</v>
      </c>
      <c r="O5" s="17">
        <f>IFERROR(INDEX('Danh mục thiết bị'!$E$5:$E$53,MATCH(B5,'Danh mục thiết bị'!$A$5:$A$53,0)),0)</f>
        <v>14900000</v>
      </c>
      <c r="P5" s="6" t="s">
        <v>82</v>
      </c>
    </row>
    <row r="6" ht="26.4" spans="1:16">
      <c r="A6" s="11" t="s">
        <v>102</v>
      </c>
      <c r="B6" s="12" t="s">
        <v>103</v>
      </c>
      <c r="C6" s="6" t="str">
        <f>IFERROR(INDEX('Danh mục thiết bị'!$B$5:$B$53,MATCH(B6,'Danh mục thiết bị'!$A$5:$A$53,0)),"")</f>
        <v>Chuột không dây ProtoArc</v>
      </c>
      <c r="D6" s="6" t="str">
        <f>IFERROR(INDEX('Danh mục thiết bị'!$C$5:$C$53,MATCH(B6,'Danh mục thiết bị'!$A$5:$A$53,0)),"")</f>
        <v>Phụ kiện</v>
      </c>
      <c r="E6" s="12" t="s">
        <v>104</v>
      </c>
      <c r="F6" s="12" t="s">
        <v>100</v>
      </c>
      <c r="G6" s="12" t="s">
        <v>57</v>
      </c>
      <c r="H6" s="12" t="s">
        <v>101</v>
      </c>
      <c r="I6" s="13">
        <v>45731</v>
      </c>
      <c r="J6" s="14">
        <f>IFERROR(INDEX('Danh mục thiết bị'!$F$5:$F$53,MATCH(B6,'Danh mục thiết bị'!$A$5:$A$53,0)),0)</f>
        <v>12</v>
      </c>
      <c r="K6" s="15">
        <f t="shared" si="0"/>
        <v>46096</v>
      </c>
      <c r="L6" s="16">
        <f>IF(K6="","",K6-'Tham số'!$B$5)</f>
        <v>-225</v>
      </c>
      <c r="M6" s="11" t="str">
        <f>IF(K6="","",IF(L6&lt;0,"Hết hạn",IF(L6&lt;='Tham số'!$B$6,"Sắp hết hạn","Còn hạn")))</f>
        <v>Hết hạn</v>
      </c>
      <c r="N6" s="12" t="s">
        <v>51</v>
      </c>
      <c r="O6" s="17">
        <f>IFERROR(INDEX('Danh mục thiết bị'!$E$5:$E$53,MATCH(B6,'Danh mục thiết bị'!$A$5:$A$53,0)),0)</f>
        <v>450000</v>
      </c>
      <c r="P6" s="6" t="s">
        <v>82</v>
      </c>
    </row>
    <row r="7" ht="26.4" spans="1:16">
      <c r="A7" s="11" t="s">
        <v>105</v>
      </c>
      <c r="B7" s="12" t="s">
        <v>106</v>
      </c>
      <c r="C7" s="6" t="str">
        <f>IFERROR(INDEX('Danh mục thiết bị'!$B$5:$B$53,MATCH(B7,'Danh mục thiết bị'!$A$5:$A$53,0)),"")</f>
        <v>Tai nghe Creative Sound BlasterX H5</v>
      </c>
      <c r="D7" s="6" t="str">
        <f>IFERROR(INDEX('Danh mục thiết bị'!$C$5:$C$53,MATCH(B7,'Danh mục thiết bị'!$A$5:$A$53,0)),"")</f>
        <v>Phụ kiện</v>
      </c>
      <c r="E7" s="12" t="s">
        <v>107</v>
      </c>
      <c r="F7" s="12" t="s">
        <v>100</v>
      </c>
      <c r="G7" s="12" t="s">
        <v>57</v>
      </c>
      <c r="H7" s="12" t="s">
        <v>101</v>
      </c>
      <c r="I7" s="13">
        <v>45810</v>
      </c>
      <c r="J7" s="14">
        <f>IFERROR(INDEX('Danh mục thiết bị'!$F$5:$F$53,MATCH(B7,'Danh mục thiết bị'!$A$5:$A$53,0)),0)</f>
        <v>12</v>
      </c>
      <c r="K7" s="15">
        <f t="shared" si="0"/>
        <v>46175</v>
      </c>
      <c r="L7" s="16">
        <f>IF(K7="","",K7-'Tham số'!$B$5)</f>
        <v>-146</v>
      </c>
      <c r="M7" s="11" t="str">
        <f>IF(K7="","",IF(L7&lt;0,"Hết hạn",IF(L7&lt;='Tham số'!$B$6,"Sắp hết hạn","Còn hạn")))</f>
        <v>Hết hạn</v>
      </c>
      <c r="N7" s="12" t="s">
        <v>51</v>
      </c>
      <c r="O7" s="17">
        <f>IFERROR(INDEX('Danh mục thiết bị'!$E$5:$E$53,MATCH(B7,'Danh mục thiết bị'!$A$5:$A$53,0)),0)</f>
        <v>1450000</v>
      </c>
      <c r="P7" s="6" t="s">
        <v>108</v>
      </c>
    </row>
    <row r="8" spans="1:16">
      <c r="A8" s="11" t="s">
        <v>109</v>
      </c>
      <c r="B8" s="12" t="s">
        <v>110</v>
      </c>
      <c r="C8" s="6" t="str">
        <f>IFERROR(INDEX('Danh mục thiết bị'!$B$5:$B$53,MATCH(B8,'Danh mục thiết bị'!$A$5:$A$53,0)),"")</f>
        <v>PC Gaming Fractal Design TUF Edition</v>
      </c>
      <c r="D8" s="6" t="str">
        <f>IFERROR(INDEX('Danh mục thiết bị'!$C$5:$C$53,MATCH(B8,'Danh mục thiết bị'!$A$5:$A$53,0)),"")</f>
        <v>PC để bàn</v>
      </c>
      <c r="E8" s="12" t="s">
        <v>111</v>
      </c>
      <c r="F8" s="12" t="s">
        <v>112</v>
      </c>
      <c r="G8" s="12" t="s">
        <v>58</v>
      </c>
      <c r="H8" s="12" t="s">
        <v>101</v>
      </c>
      <c r="I8" s="13">
        <v>45667</v>
      </c>
      <c r="J8" s="14">
        <f>IFERROR(INDEX('Danh mục thiết bị'!$F$5:$F$53,MATCH(B8,'Danh mục thiết bị'!$A$5:$A$53,0)),0)</f>
        <v>24</v>
      </c>
      <c r="K8" s="15">
        <f t="shared" si="0"/>
        <v>46397</v>
      </c>
      <c r="L8" s="16">
        <f>IF(K8="","",K8-'Tham số'!$B$5)</f>
        <v>76</v>
      </c>
      <c r="M8" s="11" t="str">
        <f>IF(K8="","",IF(L8&lt;0,"Hết hạn",IF(L8&lt;='Tham số'!$B$6,"Sắp hết hạn","Còn hạn")))</f>
        <v>Sắp hết hạn</v>
      </c>
      <c r="N8" s="12" t="s">
        <v>51</v>
      </c>
      <c r="O8" s="17">
        <f>IFERROR(INDEX('Danh mục thiết bị'!$E$5:$E$53,MATCH(B8,'Danh mục thiết bị'!$A$5:$A$53,0)),0)</f>
        <v>24500000</v>
      </c>
      <c r="P8" s="6" t="s">
        <v>113</v>
      </c>
    </row>
    <row r="9" spans="1:16">
      <c r="A9" s="11" t="s">
        <v>114</v>
      </c>
      <c r="B9" s="12" t="s">
        <v>115</v>
      </c>
      <c r="C9" s="6" t="str">
        <f>IFERROR(INDEX('Danh mục thiết bị'!$B$5:$B$53,MATCH(B9,'Danh mục thiết bị'!$A$5:$A$53,0)),"")</f>
        <v>Màn hình Gaming cong BenQ</v>
      </c>
      <c r="D9" s="6" t="str">
        <f>IFERROR(INDEX('Danh mục thiết bị'!$C$5:$C$53,MATCH(B9,'Danh mục thiết bị'!$A$5:$A$53,0)),"")</f>
        <v>Màn hình</v>
      </c>
      <c r="E9" s="12" t="s">
        <v>116</v>
      </c>
      <c r="F9" s="12" t="s">
        <v>112</v>
      </c>
      <c r="G9" s="12" t="s">
        <v>58</v>
      </c>
      <c r="H9" s="12" t="s">
        <v>101</v>
      </c>
      <c r="I9" s="13">
        <v>45667</v>
      </c>
      <c r="J9" s="14">
        <f>IFERROR(INDEX('Danh mục thiết bị'!$F$5:$F$53,MATCH(B9,'Danh mục thiết bị'!$A$5:$A$53,0)),0)</f>
        <v>36</v>
      </c>
      <c r="K9" s="15">
        <f t="shared" si="0"/>
        <v>46762</v>
      </c>
      <c r="L9" s="16">
        <f>IF(K9="","",K9-'Tham số'!$B$5)</f>
        <v>441</v>
      </c>
      <c r="M9" s="11" t="str">
        <f>IF(K9="","",IF(L9&lt;0,"Hết hạn",IF(L9&lt;='Tham số'!$B$6,"Sắp hết hạn","Còn hạn")))</f>
        <v>Còn hạn</v>
      </c>
      <c r="N9" s="12" t="s">
        <v>51</v>
      </c>
      <c r="O9" s="17">
        <f>IFERROR(INDEX('Danh mục thiết bị'!$E$5:$E$53,MATCH(B9,'Danh mục thiết bị'!$A$5:$A$53,0)),0)</f>
        <v>7900000</v>
      </c>
      <c r="P9" s="6" t="s">
        <v>117</v>
      </c>
    </row>
    <row r="10" spans="1:16">
      <c r="A10" s="11" t="s">
        <v>118</v>
      </c>
      <c r="B10" s="12" t="s">
        <v>119</v>
      </c>
      <c r="C10" s="6" t="str">
        <f>IFERROR(INDEX('Danh mục thiết bị'!$B$5:$B$53,MATCH(B10,'Danh mục thiết bị'!$A$5:$A$53,0)),"")</f>
        <v>Bàn phím cơ Keychron K4</v>
      </c>
      <c r="D10" s="6" t="str">
        <f>IFERROR(INDEX('Danh mục thiết bị'!$C$5:$C$53,MATCH(B10,'Danh mục thiết bị'!$A$5:$A$53,0)),"")</f>
        <v>Phụ kiện</v>
      </c>
      <c r="E10" s="12" t="s">
        <v>120</v>
      </c>
      <c r="F10" s="12" t="s">
        <v>112</v>
      </c>
      <c r="G10" s="12" t="s">
        <v>58</v>
      </c>
      <c r="H10" s="12" t="s">
        <v>101</v>
      </c>
      <c r="I10" s="13">
        <v>45667</v>
      </c>
      <c r="J10" s="14">
        <f>IFERROR(INDEX('Danh mục thiết bị'!$F$5:$F$53,MATCH(B10,'Danh mục thiết bị'!$A$5:$A$53,0)),0)</f>
        <v>12</v>
      </c>
      <c r="K10" s="15">
        <f t="shared" si="0"/>
        <v>46032</v>
      </c>
      <c r="L10" s="16">
        <f>IF(K10="","",K10-'Tham số'!$B$5)</f>
        <v>-289</v>
      </c>
      <c r="M10" s="11" t="str">
        <f>IF(K10="","",IF(L10&lt;0,"Hết hạn",IF(L10&lt;='Tham số'!$B$6,"Sắp hết hạn","Còn hạn")))</f>
        <v>Hết hạn</v>
      </c>
      <c r="N10" s="12" t="s">
        <v>51</v>
      </c>
      <c r="O10" s="17">
        <f>IFERROR(INDEX('Danh mục thiết bị'!$E$5:$E$53,MATCH(B10,'Danh mục thiết bị'!$A$5:$A$53,0)),0)</f>
        <v>1890000</v>
      </c>
      <c r="P10" s="6" t="s">
        <v>82</v>
      </c>
    </row>
    <row r="11" spans="1:16">
      <c r="A11" s="11" t="s">
        <v>121</v>
      </c>
      <c r="B11" s="12" t="s">
        <v>122</v>
      </c>
      <c r="C11" s="6" t="str">
        <f>IFERROR(INDEX('Danh mục thiết bị'!$B$5:$B$53,MATCH(B11,'Danh mục thiết bị'!$A$5:$A$53,0)),"")</f>
        <v>PC Văn phòng Dell OptiPlex 9020</v>
      </c>
      <c r="D11" s="6" t="str">
        <f>IFERROR(INDEX('Danh mục thiết bị'!$C$5:$C$53,MATCH(B11,'Danh mục thiết bị'!$A$5:$A$53,0)),"")</f>
        <v>PC để bàn</v>
      </c>
      <c r="E11" s="12" t="s">
        <v>123</v>
      </c>
      <c r="F11" s="12" t="s">
        <v>124</v>
      </c>
      <c r="G11" s="12" t="s">
        <v>60</v>
      </c>
      <c r="H11" s="12" t="s">
        <v>101</v>
      </c>
      <c r="I11" s="13">
        <v>45524</v>
      </c>
      <c r="J11" s="14">
        <f>IFERROR(INDEX('Danh mục thiết bị'!$F$5:$F$53,MATCH(B11,'Danh mục thiết bị'!$A$5:$A$53,0)),0)</f>
        <v>24</v>
      </c>
      <c r="K11" s="15">
        <f t="shared" si="0"/>
        <v>46254</v>
      </c>
      <c r="L11" s="16">
        <f>IF(K11="","",K11-'Tham số'!$B$5)</f>
        <v>-67</v>
      </c>
      <c r="M11" s="11" t="str">
        <f>IF(K11="","",IF(L11&lt;0,"Hết hạn",IF(L11&lt;='Tham số'!$B$6,"Sắp hết hạn","Còn hạn")))</f>
        <v>Hết hạn</v>
      </c>
      <c r="N11" s="12" t="s">
        <v>51</v>
      </c>
      <c r="O11" s="17">
        <f>IFERROR(INDEX('Danh mục thiết bị'!$E$5:$E$53,MATCH(B11,'Danh mục thiết bị'!$A$5:$A$53,0)),0)</f>
        <v>8900000</v>
      </c>
      <c r="P11" s="6" t="s">
        <v>82</v>
      </c>
    </row>
    <row r="12" ht="26.4" spans="1:16">
      <c r="A12" s="11" t="s">
        <v>125</v>
      </c>
      <c r="B12" s="12" t="s">
        <v>126</v>
      </c>
      <c r="C12" s="6" t="str">
        <f>IFERROR(INDEX('Danh mục thiết bị'!$B$5:$B$53,MATCH(B12,'Danh mục thiết bị'!$A$5:$A$53,0)),"")</f>
        <v>Màn hình Samsung SyncMaster 940B</v>
      </c>
      <c r="D12" s="6" t="str">
        <f>IFERROR(INDEX('Danh mục thiết bị'!$C$5:$C$53,MATCH(B12,'Danh mục thiết bị'!$A$5:$A$53,0)),"")</f>
        <v>Màn hình</v>
      </c>
      <c r="E12" s="12" t="s">
        <v>127</v>
      </c>
      <c r="F12" s="12" t="s">
        <v>124</v>
      </c>
      <c r="G12" s="12" t="s">
        <v>60</v>
      </c>
      <c r="H12" s="12" t="s">
        <v>101</v>
      </c>
      <c r="I12" s="13">
        <v>45524</v>
      </c>
      <c r="J12" s="14">
        <f>IFERROR(INDEX('Danh mục thiết bị'!$F$5:$F$53,MATCH(B12,'Danh mục thiết bị'!$A$5:$A$53,0)),0)</f>
        <v>36</v>
      </c>
      <c r="K12" s="15">
        <f t="shared" si="0"/>
        <v>46619</v>
      </c>
      <c r="L12" s="16">
        <f>IF(K12="","",K12-'Tham số'!$B$5)</f>
        <v>298</v>
      </c>
      <c r="M12" s="11" t="str">
        <f>IF(K12="","",IF(L12&lt;0,"Hết hạn",IF(L12&lt;='Tham số'!$B$6,"Sắp hết hạn","Còn hạn")))</f>
        <v>Còn hạn</v>
      </c>
      <c r="N12" s="12" t="s">
        <v>51</v>
      </c>
      <c r="O12" s="17">
        <f>IFERROR(INDEX('Danh mục thiết bị'!$E$5:$E$53,MATCH(B12,'Danh mục thiết bị'!$A$5:$A$53,0)),0)</f>
        <v>1990000</v>
      </c>
      <c r="P12" s="6" t="s">
        <v>82</v>
      </c>
    </row>
    <row r="13" ht="26.4" spans="1:16">
      <c r="A13" s="11" t="s">
        <v>128</v>
      </c>
      <c r="B13" s="12" t="s">
        <v>103</v>
      </c>
      <c r="C13" s="6" t="str">
        <f>IFERROR(INDEX('Danh mục thiết bị'!$B$5:$B$53,MATCH(B13,'Danh mục thiết bị'!$A$5:$A$53,0)),"")</f>
        <v>Chuột không dây ProtoArc</v>
      </c>
      <c r="D13" s="6" t="str">
        <f>IFERROR(INDEX('Danh mục thiết bị'!$C$5:$C$53,MATCH(B13,'Danh mục thiết bị'!$A$5:$A$53,0)),"")</f>
        <v>Phụ kiện</v>
      </c>
      <c r="E13" s="12" t="s">
        <v>129</v>
      </c>
      <c r="F13" s="12" t="s">
        <v>124</v>
      </c>
      <c r="G13" s="12" t="s">
        <v>60</v>
      </c>
      <c r="H13" s="12" t="s">
        <v>101</v>
      </c>
      <c r="I13" s="13">
        <v>45524</v>
      </c>
      <c r="J13" s="14">
        <f>IFERROR(INDEX('Danh mục thiết bị'!$F$5:$F$53,MATCH(B13,'Danh mục thiết bị'!$A$5:$A$53,0)),0)</f>
        <v>12</v>
      </c>
      <c r="K13" s="15">
        <f t="shared" si="0"/>
        <v>45889</v>
      </c>
      <c r="L13" s="16">
        <f>IF(K13="","",K13-'Tham số'!$B$5)</f>
        <v>-432</v>
      </c>
      <c r="M13" s="11" t="str">
        <f>IF(K13="","",IF(L13&lt;0,"Hết hạn",IF(L13&lt;='Tham số'!$B$6,"Sắp hết hạn","Còn hạn")))</f>
        <v>Hết hạn</v>
      </c>
      <c r="N13" s="12" t="s">
        <v>51</v>
      </c>
      <c r="O13" s="17">
        <f>IFERROR(INDEX('Danh mục thiết bị'!$E$5:$E$53,MATCH(B13,'Danh mục thiết bị'!$A$5:$A$53,0)),0)</f>
        <v>450000</v>
      </c>
      <c r="P13" s="6" t="s">
        <v>82</v>
      </c>
    </row>
    <row r="14" spans="1:16">
      <c r="A14" s="11" t="s">
        <v>130</v>
      </c>
      <c r="B14" s="12" t="s">
        <v>131</v>
      </c>
      <c r="C14" s="6" t="str">
        <f>IFERROR(INDEX('Danh mục thiết bị'!$B$5:$B$53,MATCH(B14,'Danh mục thiết bị'!$A$5:$A$53,0)),"")</f>
        <v>Laptop HP Envy 14</v>
      </c>
      <c r="D14" s="6" t="str">
        <f>IFERROR(INDEX('Danh mục thiết bị'!$C$5:$C$53,MATCH(B14,'Danh mục thiết bị'!$A$5:$A$53,0)),"")</f>
        <v>Laptop</v>
      </c>
      <c r="E14" s="12" t="s">
        <v>132</v>
      </c>
      <c r="F14" s="12" t="s">
        <v>133</v>
      </c>
      <c r="G14" s="12" t="s">
        <v>59</v>
      </c>
      <c r="H14" s="12" t="s">
        <v>101</v>
      </c>
      <c r="I14" s="13">
        <v>45782</v>
      </c>
      <c r="J14" s="14">
        <f>IFERROR(INDEX('Danh mục thiết bị'!$F$5:$F$53,MATCH(B14,'Danh mục thiết bị'!$A$5:$A$53,0)),0)</f>
        <v>24</v>
      </c>
      <c r="K14" s="15">
        <f t="shared" si="0"/>
        <v>46512</v>
      </c>
      <c r="L14" s="16">
        <f>IF(K14="","",K14-'Tham số'!$B$5)</f>
        <v>191</v>
      </c>
      <c r="M14" s="11" t="str">
        <f>IF(K14="","",IF(L14&lt;0,"Hết hạn",IF(L14&lt;='Tham số'!$B$6,"Sắp hết hạn","Còn hạn")))</f>
        <v>Còn hạn</v>
      </c>
      <c r="N14" s="12" t="s">
        <v>51</v>
      </c>
      <c r="O14" s="17">
        <f>IFERROR(INDEX('Danh mục thiết bị'!$E$5:$E$53,MATCH(B14,'Danh mục thiết bị'!$A$5:$A$53,0)),0)</f>
        <v>26900000</v>
      </c>
      <c r="P14" s="6" t="s">
        <v>134</v>
      </c>
    </row>
    <row r="15" ht="26.4" spans="1:16">
      <c r="A15" s="11" t="s">
        <v>135</v>
      </c>
      <c r="B15" s="12" t="s">
        <v>115</v>
      </c>
      <c r="C15" s="6" t="str">
        <f>IFERROR(INDEX('Danh mục thiết bị'!$B$5:$B$53,MATCH(B15,'Danh mục thiết bị'!$A$5:$A$53,0)),"")</f>
        <v>Màn hình Gaming cong BenQ</v>
      </c>
      <c r="D15" s="6" t="str">
        <f>IFERROR(INDEX('Danh mục thiết bị'!$C$5:$C$53,MATCH(B15,'Danh mục thiết bị'!$A$5:$A$53,0)),"")</f>
        <v>Màn hình</v>
      </c>
      <c r="E15" s="12" t="s">
        <v>136</v>
      </c>
      <c r="F15" s="12" t="s">
        <v>133</v>
      </c>
      <c r="G15" s="12" t="s">
        <v>59</v>
      </c>
      <c r="H15" s="12" t="s">
        <v>101</v>
      </c>
      <c r="I15" s="13">
        <v>45782</v>
      </c>
      <c r="J15" s="14">
        <f>IFERROR(INDEX('Danh mục thiết bị'!$F$5:$F$53,MATCH(B15,'Danh mục thiết bị'!$A$5:$A$53,0)),0)</f>
        <v>36</v>
      </c>
      <c r="K15" s="15">
        <f t="shared" si="0"/>
        <v>46878</v>
      </c>
      <c r="L15" s="16">
        <f>IF(K15="","",K15-'Tham số'!$B$5)</f>
        <v>557</v>
      </c>
      <c r="M15" s="11" t="str">
        <f>IF(K15="","",IF(L15&lt;0,"Hết hạn",IF(L15&lt;='Tham số'!$B$6,"Sắp hết hạn","Còn hạn")))</f>
        <v>Còn hạn</v>
      </c>
      <c r="N15" s="12" t="s">
        <v>53</v>
      </c>
      <c r="O15" s="17">
        <f>IFERROR(INDEX('Danh mục thiết bị'!$E$5:$E$53,MATCH(B15,'Danh mục thiết bị'!$A$5:$A$53,0)),0)</f>
        <v>7900000</v>
      </c>
      <c r="P15" s="6" t="s">
        <v>137</v>
      </c>
    </row>
    <row r="16" ht="26.4" spans="1:16">
      <c r="A16" s="11" t="s">
        <v>138</v>
      </c>
      <c r="B16" s="12" t="s">
        <v>103</v>
      </c>
      <c r="C16" s="6" t="str">
        <f>IFERROR(INDEX('Danh mục thiết bị'!$B$5:$B$53,MATCH(B16,'Danh mục thiết bị'!$A$5:$A$53,0)),"")</f>
        <v>Chuột không dây ProtoArc</v>
      </c>
      <c r="D16" s="6" t="str">
        <f>IFERROR(INDEX('Danh mục thiết bị'!$C$5:$C$53,MATCH(B16,'Danh mục thiết bị'!$A$5:$A$53,0)),"")</f>
        <v>Phụ kiện</v>
      </c>
      <c r="E16" s="12" t="s">
        <v>139</v>
      </c>
      <c r="F16" s="12" t="s">
        <v>133</v>
      </c>
      <c r="G16" s="12" t="s">
        <v>59</v>
      </c>
      <c r="H16" s="12" t="s">
        <v>101</v>
      </c>
      <c r="I16" s="13">
        <v>45782</v>
      </c>
      <c r="J16" s="14">
        <f>IFERROR(INDEX('Danh mục thiết bị'!$F$5:$F$53,MATCH(B16,'Danh mục thiết bị'!$A$5:$A$53,0)),0)</f>
        <v>12</v>
      </c>
      <c r="K16" s="15">
        <f t="shared" si="0"/>
        <v>46147</v>
      </c>
      <c r="L16" s="16">
        <f>IF(K16="","",K16-'Tham số'!$B$5)</f>
        <v>-174</v>
      </c>
      <c r="M16" s="11" t="str">
        <f>IF(K16="","",IF(L16&lt;0,"Hết hạn",IF(L16&lt;='Tham số'!$B$6,"Sắp hết hạn","Còn hạn")))</f>
        <v>Hết hạn</v>
      </c>
      <c r="N16" s="12" t="s">
        <v>51</v>
      </c>
      <c r="O16" s="17">
        <f>IFERROR(INDEX('Danh mục thiết bị'!$E$5:$E$53,MATCH(B16,'Danh mục thiết bị'!$A$5:$A$53,0)),0)</f>
        <v>450000</v>
      </c>
      <c r="P16" s="6" t="s">
        <v>82</v>
      </c>
    </row>
    <row r="17" spans="1:16">
      <c r="A17" s="11" t="s">
        <v>140</v>
      </c>
      <c r="B17" s="12" t="s">
        <v>98</v>
      </c>
      <c r="C17" s="6" t="str">
        <f>IFERROR(INDEX('Danh mục thiết bị'!$B$5:$B$53,MATCH(B17,'Danh mục thiết bị'!$A$5:$A$53,0)),"")</f>
        <v>Laptop Lenovo ThinkPad T460</v>
      </c>
      <c r="D17" s="6" t="str">
        <f>IFERROR(INDEX('Danh mục thiết bị'!$C$5:$C$53,MATCH(B17,'Danh mục thiết bị'!$A$5:$A$53,0)),"")</f>
        <v>Laptop</v>
      </c>
      <c r="E17" s="12" t="s">
        <v>141</v>
      </c>
      <c r="F17" s="12" t="s">
        <v>142</v>
      </c>
      <c r="G17" s="12" t="s">
        <v>57</v>
      </c>
      <c r="H17" s="12" t="s">
        <v>101</v>
      </c>
      <c r="I17" s="13">
        <v>45608</v>
      </c>
      <c r="J17" s="14">
        <f>IFERROR(INDEX('Danh mục thiết bị'!$F$5:$F$53,MATCH(B17,'Danh mục thiết bị'!$A$5:$A$53,0)),0)</f>
        <v>24</v>
      </c>
      <c r="K17" s="15">
        <f t="shared" si="0"/>
        <v>46338</v>
      </c>
      <c r="L17" s="16">
        <f>IF(K17="","",K17-'Tham số'!$B$5)</f>
        <v>17</v>
      </c>
      <c r="M17" s="11" t="str">
        <f>IF(K17="","",IF(L17&lt;0,"Hết hạn",IF(L17&lt;='Tham số'!$B$6,"Sắp hết hạn","Còn hạn")))</f>
        <v>Sắp hết hạn</v>
      </c>
      <c r="N17" s="12" t="s">
        <v>51</v>
      </c>
      <c r="O17" s="17">
        <f>IFERROR(INDEX('Danh mục thiết bị'!$E$5:$E$53,MATCH(B17,'Danh mục thiết bị'!$A$5:$A$53,0)),0)</f>
        <v>14900000</v>
      </c>
      <c r="P17" s="6" t="s">
        <v>82</v>
      </c>
    </row>
    <row r="18" ht="26.4" spans="1:16">
      <c r="A18" s="11" t="s">
        <v>143</v>
      </c>
      <c r="B18" s="12" t="s">
        <v>106</v>
      </c>
      <c r="C18" s="6" t="str">
        <f>IFERROR(INDEX('Danh mục thiết bị'!$B$5:$B$53,MATCH(B18,'Danh mục thiết bị'!$A$5:$A$53,0)),"")</f>
        <v>Tai nghe Creative Sound BlasterX H5</v>
      </c>
      <c r="D18" s="6" t="str">
        <f>IFERROR(INDEX('Danh mục thiết bị'!$C$5:$C$53,MATCH(B18,'Danh mục thiết bị'!$A$5:$A$53,0)),"")</f>
        <v>Phụ kiện</v>
      </c>
      <c r="E18" s="12" t="s">
        <v>144</v>
      </c>
      <c r="F18" s="12" t="s">
        <v>142</v>
      </c>
      <c r="G18" s="12" t="s">
        <v>57</v>
      </c>
      <c r="H18" s="12" t="s">
        <v>101</v>
      </c>
      <c r="I18" s="13">
        <v>45608</v>
      </c>
      <c r="J18" s="14">
        <f>IFERROR(INDEX('Danh mục thiết bị'!$F$5:$F$53,MATCH(B18,'Danh mục thiết bị'!$A$5:$A$53,0)),0)</f>
        <v>12</v>
      </c>
      <c r="K18" s="15">
        <f t="shared" si="0"/>
        <v>45973</v>
      </c>
      <c r="L18" s="16">
        <f>IF(K18="","",K18-'Tham số'!$B$5)</f>
        <v>-348</v>
      </c>
      <c r="M18" s="11" t="str">
        <f>IF(K18="","",IF(L18&lt;0,"Hết hạn",IF(L18&lt;='Tham số'!$B$6,"Sắp hết hạn","Còn hạn")))</f>
        <v>Hết hạn</v>
      </c>
      <c r="N18" s="12" t="s">
        <v>51</v>
      </c>
      <c r="O18" s="17">
        <f>IFERROR(INDEX('Danh mục thiết bị'!$E$5:$E$53,MATCH(B18,'Danh mục thiết bị'!$A$5:$A$53,0)),0)</f>
        <v>1450000</v>
      </c>
      <c r="P18" s="6" t="s">
        <v>82</v>
      </c>
    </row>
    <row r="19" spans="1:16">
      <c r="A19" s="11" t="s">
        <v>145</v>
      </c>
      <c r="B19" s="12" t="s">
        <v>122</v>
      </c>
      <c r="C19" s="6" t="str">
        <f>IFERROR(INDEX('Danh mục thiết bị'!$B$5:$B$53,MATCH(B19,'Danh mục thiết bị'!$A$5:$A$53,0)),"")</f>
        <v>PC Văn phòng Dell OptiPlex 9020</v>
      </c>
      <c r="D19" s="6" t="str">
        <f>IFERROR(INDEX('Danh mục thiết bị'!$C$5:$C$53,MATCH(B19,'Danh mục thiết bị'!$A$5:$A$53,0)),"")</f>
        <v>PC để bàn</v>
      </c>
      <c r="E19" s="12" t="s">
        <v>146</v>
      </c>
      <c r="F19" s="12" t="s">
        <v>147</v>
      </c>
      <c r="G19" s="12" t="s">
        <v>58</v>
      </c>
      <c r="H19" s="12" t="s">
        <v>101</v>
      </c>
      <c r="I19" s="13">
        <v>45538</v>
      </c>
      <c r="J19" s="14">
        <f>IFERROR(INDEX('Danh mục thiết bị'!$F$5:$F$53,MATCH(B19,'Danh mục thiết bị'!$A$5:$A$53,0)),0)</f>
        <v>24</v>
      </c>
      <c r="K19" s="15">
        <f t="shared" si="0"/>
        <v>46268</v>
      </c>
      <c r="L19" s="16">
        <f>IF(K19="","",K19-'Tham số'!$B$5)</f>
        <v>-53</v>
      </c>
      <c r="M19" s="11" t="str">
        <f>IF(K19="","",IF(L19&lt;0,"Hết hạn",IF(L19&lt;='Tham số'!$B$6,"Sắp hết hạn","Còn hạn")))</f>
        <v>Hết hạn</v>
      </c>
      <c r="N19" s="12" t="s">
        <v>51</v>
      </c>
      <c r="O19" s="17">
        <f>IFERROR(INDEX('Danh mục thiết bị'!$E$5:$E$53,MATCH(B19,'Danh mục thiết bị'!$A$5:$A$53,0)),0)</f>
        <v>8900000</v>
      </c>
      <c r="P19" s="6" t="s">
        <v>82</v>
      </c>
    </row>
    <row r="20" ht="26.4" spans="1:16">
      <c r="A20" s="11" t="s">
        <v>148</v>
      </c>
      <c r="B20" s="12" t="s">
        <v>126</v>
      </c>
      <c r="C20" s="6" t="str">
        <f>IFERROR(INDEX('Danh mục thiết bị'!$B$5:$B$53,MATCH(B20,'Danh mục thiết bị'!$A$5:$A$53,0)),"")</f>
        <v>Màn hình Samsung SyncMaster 940B</v>
      </c>
      <c r="D20" s="6" t="str">
        <f>IFERROR(INDEX('Danh mục thiết bị'!$C$5:$C$53,MATCH(B20,'Danh mục thiết bị'!$A$5:$A$53,0)),"")</f>
        <v>Màn hình</v>
      </c>
      <c r="E20" s="12" t="s">
        <v>149</v>
      </c>
      <c r="F20" s="12" t="s">
        <v>147</v>
      </c>
      <c r="G20" s="12" t="s">
        <v>58</v>
      </c>
      <c r="H20" s="12" t="s">
        <v>101</v>
      </c>
      <c r="I20" s="13">
        <v>45538</v>
      </c>
      <c r="J20" s="14">
        <f>IFERROR(INDEX('Danh mục thiết bị'!$F$5:$F$53,MATCH(B20,'Danh mục thiết bị'!$A$5:$A$53,0)),0)</f>
        <v>36</v>
      </c>
      <c r="K20" s="15">
        <f t="shared" si="0"/>
        <v>46633</v>
      </c>
      <c r="L20" s="16">
        <f>IF(K20="","",K20-'Tham số'!$B$5)</f>
        <v>312</v>
      </c>
      <c r="M20" s="11" t="str">
        <f>IF(K20="","",IF(L20&lt;0,"Hết hạn",IF(L20&lt;='Tham số'!$B$6,"Sắp hết hạn","Còn hạn")))</f>
        <v>Còn hạn</v>
      </c>
      <c r="N20" s="12" t="s">
        <v>51</v>
      </c>
      <c r="O20" s="17">
        <f>IFERROR(INDEX('Danh mục thiết bị'!$E$5:$E$53,MATCH(B20,'Danh mục thiết bị'!$A$5:$A$53,0)),0)</f>
        <v>1990000</v>
      </c>
      <c r="P20" s="6" t="s">
        <v>82</v>
      </c>
    </row>
    <row r="21" spans="1:16">
      <c r="A21" s="11" t="s">
        <v>150</v>
      </c>
      <c r="B21" s="12" t="s">
        <v>119</v>
      </c>
      <c r="C21" s="6" t="str">
        <f>IFERROR(INDEX('Danh mục thiết bị'!$B$5:$B$53,MATCH(B21,'Danh mục thiết bị'!$A$5:$A$53,0)),"")</f>
        <v>Bàn phím cơ Keychron K4</v>
      </c>
      <c r="D21" s="6" t="str">
        <f>IFERROR(INDEX('Danh mục thiết bị'!$C$5:$C$53,MATCH(B21,'Danh mục thiết bị'!$A$5:$A$53,0)),"")</f>
        <v>Phụ kiện</v>
      </c>
      <c r="E21" s="12" t="s">
        <v>151</v>
      </c>
      <c r="F21" s="12" t="s">
        <v>147</v>
      </c>
      <c r="G21" s="12" t="s">
        <v>58</v>
      </c>
      <c r="H21" s="12" t="s">
        <v>101</v>
      </c>
      <c r="I21" s="13">
        <v>46054</v>
      </c>
      <c r="J21" s="14">
        <f>IFERROR(INDEX('Danh mục thiết bị'!$F$5:$F$53,MATCH(B21,'Danh mục thiết bị'!$A$5:$A$53,0)),0)</f>
        <v>12</v>
      </c>
      <c r="K21" s="15">
        <f t="shared" si="0"/>
        <v>46419</v>
      </c>
      <c r="L21" s="16">
        <f>IF(K21="","",K21-'Tham số'!$B$5)</f>
        <v>98</v>
      </c>
      <c r="M21" s="11" t="str">
        <f>IF(K21="","",IF(L21&lt;0,"Hết hạn",IF(L21&lt;='Tham số'!$B$6,"Sắp hết hạn","Còn hạn")))</f>
        <v>Còn hạn</v>
      </c>
      <c r="N21" s="12" t="s">
        <v>51</v>
      </c>
      <c r="O21" s="17">
        <f>IFERROR(INDEX('Danh mục thiết bị'!$E$5:$E$53,MATCH(B21,'Danh mục thiết bị'!$A$5:$A$53,0)),0)</f>
        <v>1890000</v>
      </c>
      <c r="P21" s="6" t="s">
        <v>82</v>
      </c>
    </row>
    <row r="22" spans="1:16">
      <c r="A22" s="11" t="s">
        <v>152</v>
      </c>
      <c r="B22" s="12" t="s">
        <v>153</v>
      </c>
      <c r="C22" s="6" t="str">
        <f>IFERROR(INDEX('Danh mục thiết bị'!$B$5:$B$53,MATCH(B22,'Danh mục thiết bị'!$A$5:$A$53,0)),"")</f>
        <v>Laptop Dell XPS M1330</v>
      </c>
      <c r="D22" s="6" t="str">
        <f>IFERROR(INDEX('Danh mục thiết bị'!$C$5:$C$53,MATCH(B22,'Danh mục thiết bị'!$A$5:$A$53,0)),"")</f>
        <v>Laptop</v>
      </c>
      <c r="E22" s="12" t="s">
        <v>154</v>
      </c>
      <c r="F22" s="12" t="s">
        <v>155</v>
      </c>
      <c r="G22" s="12" t="s">
        <v>60</v>
      </c>
      <c r="H22" s="12" t="s">
        <v>156</v>
      </c>
      <c r="I22" s="13">
        <v>45278</v>
      </c>
      <c r="J22" s="14">
        <f>IFERROR(INDEX('Danh mục thiết bị'!$F$5:$F$53,MATCH(B22,'Danh mục thiết bị'!$A$5:$A$53,0)),0)</f>
        <v>24</v>
      </c>
      <c r="K22" s="15">
        <f t="shared" si="0"/>
        <v>46009</v>
      </c>
      <c r="L22" s="16">
        <f>IF(K22="","",K22-'Tham số'!$B$5)</f>
        <v>-312</v>
      </c>
      <c r="M22" s="11" t="str">
        <f>IF(K22="","",IF(L22&lt;0,"Hết hạn",IF(L22&lt;='Tham số'!$B$6,"Sắp hết hạn","Còn hạn")))</f>
        <v>Hết hạn</v>
      </c>
      <c r="N22" s="12" t="s">
        <v>54</v>
      </c>
      <c r="O22" s="17">
        <f>IFERROR(INDEX('Danh mục thiết bị'!$E$5:$E$53,MATCH(B22,'Danh mục thiết bị'!$A$5:$A$53,0)),0)</f>
        <v>18900000</v>
      </c>
      <c r="P22" s="6" t="s">
        <v>157</v>
      </c>
    </row>
    <row r="23" spans="1:16">
      <c r="A23" s="11" t="s">
        <v>158</v>
      </c>
      <c r="B23" s="12" t="s">
        <v>122</v>
      </c>
      <c r="C23" s="6" t="str">
        <f>IFERROR(INDEX('Danh mục thiết bị'!$B$5:$B$53,MATCH(B23,'Danh mục thiết bị'!$A$5:$A$53,0)),"")</f>
        <v>PC Văn phòng Dell OptiPlex 9020</v>
      </c>
      <c r="D23" s="6" t="str">
        <f>IFERROR(INDEX('Danh mục thiết bị'!$C$5:$C$53,MATCH(B23,'Danh mục thiết bị'!$A$5:$A$53,0)),"")</f>
        <v>PC để bàn</v>
      </c>
      <c r="E23" s="12" t="s">
        <v>159</v>
      </c>
      <c r="F23" s="12" t="s">
        <v>155</v>
      </c>
      <c r="G23" s="12" t="s">
        <v>60</v>
      </c>
      <c r="H23" s="12" t="s">
        <v>101</v>
      </c>
      <c r="I23" s="13">
        <v>46287</v>
      </c>
      <c r="J23" s="14">
        <f>IFERROR(INDEX('Danh mục thiết bị'!$F$5:$F$53,MATCH(B23,'Danh mục thiết bị'!$A$5:$A$53,0)),0)</f>
        <v>24</v>
      </c>
      <c r="K23" s="15">
        <f t="shared" si="0"/>
        <v>47018</v>
      </c>
      <c r="L23" s="16">
        <f>IF(K23="","",K23-'Tham số'!$B$5)</f>
        <v>697</v>
      </c>
      <c r="M23" s="11" t="str">
        <f>IF(K23="","",IF(L23&lt;0,"Hết hạn",IF(L23&lt;='Tham số'!$B$6,"Sắp hết hạn","Còn hạn")))</f>
        <v>Còn hạn</v>
      </c>
      <c r="N23" s="12" t="s">
        <v>51</v>
      </c>
      <c r="O23" s="17">
        <f>IFERROR(INDEX('Danh mục thiết bị'!$E$5:$E$53,MATCH(B23,'Danh mục thiết bị'!$A$5:$A$53,0)),0)</f>
        <v>8900000</v>
      </c>
      <c r="P23" s="6" t="s">
        <v>160</v>
      </c>
    </row>
    <row r="24" spans="1:16">
      <c r="A24" s="11" t="s">
        <v>161</v>
      </c>
      <c r="B24" s="12" t="s">
        <v>131</v>
      </c>
      <c r="C24" s="6" t="str">
        <f>IFERROR(INDEX('Danh mục thiết bị'!$B$5:$B$53,MATCH(B24,'Danh mục thiết bị'!$A$5:$A$53,0)),"")</f>
        <v>Laptop HP Envy 14</v>
      </c>
      <c r="D24" s="6" t="str">
        <f>IFERROR(INDEX('Danh mục thiết bị'!$C$5:$C$53,MATCH(B24,'Danh mục thiết bị'!$A$5:$A$53,0)),"")</f>
        <v>Laptop</v>
      </c>
      <c r="E24" s="12" t="s">
        <v>162</v>
      </c>
      <c r="F24" s="12" t="s">
        <v>163</v>
      </c>
      <c r="G24" s="12" t="s">
        <v>59</v>
      </c>
      <c r="H24" s="12" t="s">
        <v>101</v>
      </c>
      <c r="I24" s="13">
        <v>45852</v>
      </c>
      <c r="J24" s="14">
        <f>IFERROR(INDEX('Danh mục thiết bị'!$F$5:$F$53,MATCH(B24,'Danh mục thiết bị'!$A$5:$A$53,0)),0)</f>
        <v>24</v>
      </c>
      <c r="K24" s="15">
        <f t="shared" si="0"/>
        <v>46582</v>
      </c>
      <c r="L24" s="16">
        <f>IF(K24="","",K24-'Tham số'!$B$5)</f>
        <v>261</v>
      </c>
      <c r="M24" s="11" t="str">
        <f>IF(K24="","",IF(L24&lt;0,"Hết hạn",IF(L24&lt;='Tham số'!$B$6,"Sắp hết hạn","Còn hạn")))</f>
        <v>Còn hạn</v>
      </c>
      <c r="N24" s="12" t="s">
        <v>51</v>
      </c>
      <c r="O24" s="17">
        <f>IFERROR(INDEX('Danh mục thiết bị'!$E$5:$E$53,MATCH(B24,'Danh mục thiết bị'!$A$5:$A$53,0)),0)</f>
        <v>26900000</v>
      </c>
      <c r="P24" s="6" t="s">
        <v>82</v>
      </c>
    </row>
    <row r="25" ht="26.4" spans="1:16">
      <c r="A25" s="11" t="s">
        <v>164</v>
      </c>
      <c r="B25" s="12" t="s">
        <v>106</v>
      </c>
      <c r="C25" s="6" t="str">
        <f>IFERROR(INDEX('Danh mục thiết bị'!$B$5:$B$53,MATCH(B25,'Danh mục thiết bị'!$A$5:$A$53,0)),"")</f>
        <v>Tai nghe Creative Sound BlasterX H5</v>
      </c>
      <c r="D25" s="6" t="str">
        <f>IFERROR(INDEX('Danh mục thiết bị'!$C$5:$C$53,MATCH(B25,'Danh mục thiết bị'!$A$5:$A$53,0)),"")</f>
        <v>Phụ kiện</v>
      </c>
      <c r="E25" s="12" t="s">
        <v>165</v>
      </c>
      <c r="F25" s="12" t="s">
        <v>163</v>
      </c>
      <c r="G25" s="12" t="s">
        <v>59</v>
      </c>
      <c r="H25" s="12" t="s">
        <v>101</v>
      </c>
      <c r="I25" s="13">
        <v>45852</v>
      </c>
      <c r="J25" s="14">
        <f>IFERROR(INDEX('Danh mục thiết bị'!$F$5:$F$53,MATCH(B25,'Danh mục thiết bị'!$A$5:$A$53,0)),0)</f>
        <v>12</v>
      </c>
      <c r="K25" s="15">
        <f t="shared" si="0"/>
        <v>46217</v>
      </c>
      <c r="L25" s="16">
        <f>IF(K25="","",K25-'Tham số'!$B$5)</f>
        <v>-104</v>
      </c>
      <c r="M25" s="11" t="str">
        <f>IF(K25="","",IF(L25&lt;0,"Hết hạn",IF(L25&lt;='Tham số'!$B$6,"Sắp hết hạn","Còn hạn")))</f>
        <v>Hết hạn</v>
      </c>
      <c r="N25" s="12" t="s">
        <v>51</v>
      </c>
      <c r="O25" s="17">
        <f>IFERROR(INDEX('Danh mục thiết bị'!$E$5:$E$53,MATCH(B25,'Danh mục thiết bị'!$A$5:$A$53,0)),0)</f>
        <v>1450000</v>
      </c>
      <c r="P25" s="6" t="s">
        <v>82</v>
      </c>
    </row>
    <row r="26" spans="1:16">
      <c r="A26" s="11" t="s">
        <v>166</v>
      </c>
      <c r="B26" s="12" t="s">
        <v>119</v>
      </c>
      <c r="C26" s="6" t="str">
        <f>IFERROR(INDEX('Danh mục thiết bị'!$B$5:$B$53,MATCH(B26,'Danh mục thiết bị'!$A$5:$A$53,0)),"")</f>
        <v>Bàn phím cơ Keychron K4</v>
      </c>
      <c r="D26" s="6" t="str">
        <f>IFERROR(INDEX('Danh mục thiết bị'!$C$5:$C$53,MATCH(B26,'Danh mục thiết bị'!$A$5:$A$53,0)),"")</f>
        <v>Phụ kiện</v>
      </c>
      <c r="E26" s="12" t="s">
        <v>167</v>
      </c>
      <c r="F26" s="12" t="s">
        <v>163</v>
      </c>
      <c r="G26" s="12" t="s">
        <v>59</v>
      </c>
      <c r="H26" s="12" t="s">
        <v>101</v>
      </c>
      <c r="I26" s="13">
        <v>45852</v>
      </c>
      <c r="J26" s="14">
        <f>IFERROR(INDEX('Danh mục thiết bị'!$F$5:$F$53,MATCH(B26,'Danh mục thiết bị'!$A$5:$A$53,0)),0)</f>
        <v>12</v>
      </c>
      <c r="K26" s="15">
        <f t="shared" si="0"/>
        <v>46217</v>
      </c>
      <c r="L26" s="16">
        <f>IF(K26="","",K26-'Tham số'!$B$5)</f>
        <v>-104</v>
      </c>
      <c r="M26" s="11" t="str">
        <f>IF(K26="","",IF(L26&lt;0,"Hết hạn",IF(L26&lt;='Tham số'!$B$6,"Sắp hết hạn","Còn hạn")))</f>
        <v>Hết hạn</v>
      </c>
      <c r="N26" s="12" t="s">
        <v>51</v>
      </c>
      <c r="O26" s="17">
        <f>IFERROR(INDEX('Danh mục thiết bị'!$E$5:$E$53,MATCH(B26,'Danh mục thiết bị'!$A$5:$A$53,0)),0)</f>
        <v>1890000</v>
      </c>
      <c r="P26" s="6" t="s">
        <v>82</v>
      </c>
    </row>
    <row r="27" ht="39.6" spans="1:16">
      <c r="A27" s="11" t="s">
        <v>168</v>
      </c>
      <c r="B27" s="12" t="s">
        <v>169</v>
      </c>
      <c r="C27" s="6" t="str">
        <f>IFERROR(INDEX('Danh mục thiết bị'!$B$5:$B$53,MATCH(B27,'Danh mục thiết bị'!$A$5:$A$53,0)),"")</f>
        <v>CPU Intel Core i9-9900K</v>
      </c>
      <c r="D27" s="6" t="str">
        <f>IFERROR(INDEX('Danh mục thiết bị'!$C$5:$C$53,MATCH(B27,'Danh mục thiết bị'!$A$5:$A$53,0)),"")</f>
        <v>Linh kiện PC</v>
      </c>
      <c r="E27" s="12" t="s">
        <v>170</v>
      </c>
      <c r="F27" s="12" t="s">
        <v>171</v>
      </c>
      <c r="G27" s="12" t="s">
        <v>58</v>
      </c>
      <c r="H27" s="12" t="s">
        <v>172</v>
      </c>
      <c r="I27" s="13">
        <v>46120</v>
      </c>
      <c r="J27" s="14">
        <f>IFERROR(INDEX('Danh mục thiết bị'!$F$5:$F$53,MATCH(B27,'Danh mục thiết bị'!$A$5:$A$53,0)),0)</f>
        <v>36</v>
      </c>
      <c r="K27" s="15">
        <f t="shared" si="0"/>
        <v>47216</v>
      </c>
      <c r="L27" s="16">
        <f>IF(K27="","",K27-'Tham số'!$B$5)</f>
        <v>895</v>
      </c>
      <c r="M27" s="11" t="str">
        <f>IF(K27="","",IF(L27&lt;0,"Hết hạn",IF(L27&lt;='Tham số'!$B$6,"Sắp hết hạn","Còn hạn")))</f>
        <v>Còn hạn</v>
      </c>
      <c r="N27" s="12" t="s">
        <v>51</v>
      </c>
      <c r="O27" s="17">
        <f>IFERROR(INDEX('Danh mục thiết bị'!$E$5:$E$53,MATCH(B27,'Danh mục thiết bị'!$A$5:$A$53,0)),0)</f>
        <v>7200000</v>
      </c>
      <c r="P27" s="6" t="s">
        <v>173</v>
      </c>
    </row>
    <row r="28" ht="26.4" spans="1:16">
      <c r="A28" s="11" t="s">
        <v>174</v>
      </c>
      <c r="B28" s="12" t="s">
        <v>175</v>
      </c>
      <c r="C28" s="6" t="str">
        <f>IFERROR(INDEX('Danh mục thiết bị'!$B$5:$B$53,MATCH(B28,'Danh mục thiết bị'!$A$5:$A$53,0)),"")</f>
        <v>Bo mạch chủ ASUS ROG Strix Z390-F Gaming</v>
      </c>
      <c r="D28" s="6" t="str">
        <f>IFERROR(INDEX('Danh mục thiết bị'!$C$5:$C$53,MATCH(B28,'Danh mục thiết bị'!$A$5:$A$53,0)),"")</f>
        <v>Linh kiện PC</v>
      </c>
      <c r="E28" s="12" t="s">
        <v>176</v>
      </c>
      <c r="F28" s="12" t="s">
        <v>171</v>
      </c>
      <c r="G28" s="12" t="s">
        <v>58</v>
      </c>
      <c r="H28" s="12" t="s">
        <v>172</v>
      </c>
      <c r="I28" s="13">
        <v>46120</v>
      </c>
      <c r="J28" s="14">
        <f>IFERROR(INDEX('Danh mục thiết bị'!$F$5:$F$53,MATCH(B28,'Danh mục thiết bị'!$A$5:$A$53,0)),0)</f>
        <v>36</v>
      </c>
      <c r="K28" s="15">
        <f t="shared" si="0"/>
        <v>47216</v>
      </c>
      <c r="L28" s="16">
        <f>IF(K28="","",K28-'Tham số'!$B$5)</f>
        <v>895</v>
      </c>
      <c r="M28" s="11" t="str">
        <f>IF(K28="","",IF(L28&lt;0,"Hết hạn",IF(L28&lt;='Tham số'!$B$6,"Sắp hết hạn","Còn hạn")))</f>
        <v>Còn hạn</v>
      </c>
      <c r="N28" s="12" t="s">
        <v>51</v>
      </c>
      <c r="O28" s="17">
        <f>IFERROR(INDEX('Danh mục thiết bị'!$E$5:$E$53,MATCH(B28,'Danh mục thiết bị'!$A$5:$A$53,0)),0)</f>
        <v>4500000</v>
      </c>
      <c r="P28" s="6" t="s">
        <v>82</v>
      </c>
    </row>
    <row r="29" ht="26.4" spans="1:16">
      <c r="A29" s="11" t="s">
        <v>177</v>
      </c>
      <c r="B29" s="12" t="s">
        <v>178</v>
      </c>
      <c r="C29" s="6" t="str">
        <f>IFERROR(INDEX('Danh mục thiết bị'!$B$5:$B$53,MATCH(B29,'Danh mục thiết bị'!$A$5:$A$53,0)),"")</f>
        <v>Tản nhiệt khí Arctic Freezer 13</v>
      </c>
      <c r="D29" s="6" t="str">
        <f>IFERROR(INDEX('Danh mục thiết bị'!$C$5:$C$53,MATCH(B29,'Danh mục thiết bị'!$A$5:$A$53,0)),"")</f>
        <v>Linh kiện PC</v>
      </c>
      <c r="E29" s="12" t="s">
        <v>179</v>
      </c>
      <c r="F29" s="12" t="s">
        <v>171</v>
      </c>
      <c r="G29" s="12" t="s">
        <v>58</v>
      </c>
      <c r="H29" s="12" t="s">
        <v>172</v>
      </c>
      <c r="I29" s="13">
        <v>46120</v>
      </c>
      <c r="J29" s="14">
        <f>IFERROR(INDEX('Danh mục thiết bị'!$F$5:$F$53,MATCH(B29,'Danh mục thiết bị'!$A$5:$A$53,0)),0)</f>
        <v>36</v>
      </c>
      <c r="K29" s="15">
        <f t="shared" si="0"/>
        <v>47216</v>
      </c>
      <c r="L29" s="16">
        <f>IF(K29="","",K29-'Tham số'!$B$5)</f>
        <v>895</v>
      </c>
      <c r="M29" s="11" t="str">
        <f>IF(K29="","",IF(L29&lt;0,"Hết hạn",IF(L29&lt;='Tham số'!$B$6,"Sắp hết hạn","Còn hạn")))</f>
        <v>Còn hạn</v>
      </c>
      <c r="N29" s="12" t="s">
        <v>51</v>
      </c>
      <c r="O29" s="17">
        <f>IFERROR(INDEX('Danh mục thiết bị'!$E$5:$E$53,MATCH(B29,'Danh mục thiết bị'!$A$5:$A$53,0)),0)</f>
        <v>450000</v>
      </c>
      <c r="P29" s="6" t="s">
        <v>180</v>
      </c>
    </row>
    <row r="30" ht="26.4" spans="1:16">
      <c r="A30" s="11" t="s">
        <v>181</v>
      </c>
      <c r="B30" s="12" t="s">
        <v>182</v>
      </c>
      <c r="C30" s="6" t="str">
        <f>IFERROR(INDEX('Danh mục thiết bị'!$B$5:$B$53,MATCH(B30,'Danh mục thiết bị'!$A$5:$A$53,0)),"")</f>
        <v>SSD Samsung 870 QVO 8TB</v>
      </c>
      <c r="D30" s="6" t="str">
        <f>IFERROR(INDEX('Danh mục thiết bị'!$C$5:$C$53,MATCH(B30,'Danh mục thiết bị'!$A$5:$A$53,0)),"")</f>
        <v>Linh kiện PC</v>
      </c>
      <c r="E30" s="12" t="s">
        <v>183</v>
      </c>
      <c r="F30" s="12" t="s">
        <v>171</v>
      </c>
      <c r="G30" s="12" t="s">
        <v>58</v>
      </c>
      <c r="H30" s="12" t="s">
        <v>172</v>
      </c>
      <c r="I30" s="13">
        <v>46120</v>
      </c>
      <c r="J30" s="14">
        <f>IFERROR(INDEX('Danh mục thiết bị'!$F$5:$F$53,MATCH(B30,'Danh mục thiết bị'!$A$5:$A$53,0)),0)</f>
        <v>36</v>
      </c>
      <c r="K30" s="15">
        <f t="shared" si="0"/>
        <v>47216</v>
      </c>
      <c r="L30" s="16">
        <f>IF(K30="","",K30-'Tham số'!$B$5)</f>
        <v>895</v>
      </c>
      <c r="M30" s="11" t="str">
        <f>IF(K30="","",IF(L30&lt;0,"Hết hạn",IF(L30&lt;='Tham số'!$B$6,"Sắp hết hạn","Còn hạn")))</f>
        <v>Còn hạn</v>
      </c>
      <c r="N30" s="12" t="s">
        <v>51</v>
      </c>
      <c r="O30" s="17">
        <f>IFERROR(INDEX('Danh mục thiết bị'!$E$5:$E$53,MATCH(B30,'Danh mục thiết bị'!$A$5:$A$53,0)),0)</f>
        <v>14900000</v>
      </c>
      <c r="P30" s="6" t="s">
        <v>184</v>
      </c>
    </row>
    <row r="31" ht="26.4" spans="1:16">
      <c r="A31" s="11" t="s">
        <v>185</v>
      </c>
      <c r="B31" s="12" t="s">
        <v>186</v>
      </c>
      <c r="C31" s="6" t="str">
        <f>IFERROR(INDEX('Danh mục thiết bị'!$B$5:$B$53,MATCH(B31,'Danh mục thiết bị'!$A$5:$A$53,0)),"")</f>
        <v>Nguồn máy tính OCZ 600W</v>
      </c>
      <c r="D31" s="6" t="str">
        <f>IFERROR(INDEX('Danh mục thiết bị'!$C$5:$C$53,MATCH(B31,'Danh mục thiết bị'!$A$5:$A$53,0)),"")</f>
        <v>Linh kiện PC</v>
      </c>
      <c r="E31" s="12" t="s">
        <v>187</v>
      </c>
      <c r="F31" s="12" t="s">
        <v>171</v>
      </c>
      <c r="G31" s="12" t="s">
        <v>58</v>
      </c>
      <c r="H31" s="12" t="s">
        <v>172</v>
      </c>
      <c r="I31" s="13">
        <v>46120</v>
      </c>
      <c r="J31" s="14">
        <f>IFERROR(INDEX('Danh mục thiết bị'!$F$5:$F$53,MATCH(B31,'Danh mục thiết bị'!$A$5:$A$53,0)),0)</f>
        <v>36</v>
      </c>
      <c r="K31" s="15">
        <f t="shared" si="0"/>
        <v>47216</v>
      </c>
      <c r="L31" s="16">
        <f>IF(K31="","",K31-'Tham số'!$B$5)</f>
        <v>895</v>
      </c>
      <c r="M31" s="11" t="str">
        <f>IF(K31="","",IF(L31&lt;0,"Hết hạn",IF(L31&lt;='Tham số'!$B$6,"Sắp hết hạn","Còn hạn")))</f>
        <v>Còn hạn</v>
      </c>
      <c r="N31" s="12" t="s">
        <v>51</v>
      </c>
      <c r="O31" s="17">
        <f>IFERROR(INDEX('Danh mục thiết bị'!$E$5:$E$53,MATCH(B31,'Danh mục thiết bị'!$A$5:$A$53,0)),0)</f>
        <v>1850000</v>
      </c>
      <c r="P31" s="6" t="s">
        <v>82</v>
      </c>
    </row>
    <row r="32" ht="26.4" spans="1:16">
      <c r="A32" s="11" t="s">
        <v>188</v>
      </c>
      <c r="B32" s="12" t="s">
        <v>189</v>
      </c>
      <c r="C32" s="6" t="str">
        <f>IFERROR(INDEX('Danh mục thiết bị'!$B$5:$B$53,MATCH(B32,'Danh mục thiết bị'!$A$5:$A$53,0)),"")</f>
        <v>Case Gaming ATX</v>
      </c>
      <c r="D32" s="6" t="str">
        <f>IFERROR(INDEX('Danh mục thiết bị'!$C$5:$C$53,MATCH(B32,'Danh mục thiết bị'!$A$5:$A$53,0)),"")</f>
        <v>Linh kiện PC</v>
      </c>
      <c r="E32" s="12" t="s">
        <v>190</v>
      </c>
      <c r="F32" s="12" t="s">
        <v>171</v>
      </c>
      <c r="G32" s="12" t="s">
        <v>58</v>
      </c>
      <c r="H32" s="12" t="s">
        <v>172</v>
      </c>
      <c r="I32" s="13">
        <v>46120</v>
      </c>
      <c r="J32" s="14">
        <f>IFERROR(INDEX('Danh mục thiết bị'!$F$5:$F$53,MATCH(B32,'Danh mục thiết bị'!$A$5:$A$53,0)),0)</f>
        <v>36</v>
      </c>
      <c r="K32" s="15">
        <f t="shared" si="0"/>
        <v>47216</v>
      </c>
      <c r="L32" s="16">
        <f>IF(K32="","",K32-'Tham số'!$B$5)</f>
        <v>895</v>
      </c>
      <c r="M32" s="11" t="str">
        <f>IF(K32="","",IF(L32&lt;0,"Hết hạn",IF(L32&lt;='Tham số'!$B$6,"Sắp hết hạn","Còn hạn")))</f>
        <v>Còn hạn</v>
      </c>
      <c r="N32" s="12" t="s">
        <v>51</v>
      </c>
      <c r="O32" s="17">
        <f>IFERROR(INDEX('Danh mục thiết bị'!$E$5:$E$53,MATCH(B32,'Danh mục thiết bị'!$A$5:$A$53,0)),0)</f>
        <v>2100000</v>
      </c>
      <c r="P32" s="6" t="s">
        <v>191</v>
      </c>
    </row>
    <row r="33" spans="1:16">
      <c r="A33" s="11" t="s">
        <v>192</v>
      </c>
      <c r="B33" s="12" t="s">
        <v>193</v>
      </c>
      <c r="C33" s="6" t="str">
        <f>IFERROR(INDEX('Danh mục thiết bị'!$B$5:$B$53,MATCH(B33,'Danh mục thiết bị'!$A$5:$A$53,0)),"")</f>
        <v>CPU AMD Ryzen 9 3900X</v>
      </c>
      <c r="D33" s="6" t="str">
        <f>IFERROR(INDEX('Danh mục thiết bị'!$C$5:$C$53,MATCH(B33,'Danh mục thiết bị'!$A$5:$A$53,0)),"")</f>
        <v>Linh kiện PC</v>
      </c>
      <c r="E33" s="12" t="s">
        <v>194</v>
      </c>
      <c r="F33" s="12" t="s">
        <v>195</v>
      </c>
      <c r="G33" s="12" t="s">
        <v>58</v>
      </c>
      <c r="H33" s="12" t="s">
        <v>156</v>
      </c>
      <c r="I33" s="13">
        <v>46073</v>
      </c>
      <c r="J33" s="14">
        <f>IFERROR(INDEX('Danh mục thiết bị'!$F$5:$F$53,MATCH(B33,'Danh mục thiết bị'!$A$5:$A$53,0)),0)</f>
        <v>36</v>
      </c>
      <c r="K33" s="15">
        <f t="shared" si="0"/>
        <v>47169</v>
      </c>
      <c r="L33" s="16">
        <f>IF(K33="","",K33-'Tham số'!$B$5)</f>
        <v>848</v>
      </c>
      <c r="M33" s="11" t="str">
        <f>IF(K33="","",IF(L33&lt;0,"Hết hạn",IF(L33&lt;='Tham số'!$B$6,"Sắp hết hạn","Còn hạn")))</f>
        <v>Còn hạn</v>
      </c>
      <c r="N33" s="12" t="s">
        <v>52</v>
      </c>
      <c r="O33" s="17">
        <f>IFERROR(INDEX('Danh mục thiết bị'!$E$5:$E$53,MATCH(B33,'Danh mục thiết bị'!$A$5:$A$53,0)),0)</f>
        <v>6500000</v>
      </c>
      <c r="P33" s="6" t="s">
        <v>82</v>
      </c>
    </row>
    <row r="34" ht="26.4" spans="1:16">
      <c r="A34" s="11" t="s">
        <v>196</v>
      </c>
      <c r="B34" s="12" t="s">
        <v>197</v>
      </c>
      <c r="C34" s="6" t="str">
        <f>IFERROR(INDEX('Danh mục thiết bị'!$B$5:$B$53,MATCH(B34,'Danh mục thiết bị'!$A$5:$A$53,0)),"")</f>
        <v>Card đồ họa MSI GeForce RTX 3070 Ventus 3X OC</v>
      </c>
      <c r="D34" s="6" t="str">
        <f>IFERROR(INDEX('Danh mục thiết bị'!$C$5:$C$53,MATCH(B34,'Danh mục thiết bị'!$A$5:$A$53,0)),"")</f>
        <v>Linh kiện PC</v>
      </c>
      <c r="E34" s="12" t="s">
        <v>198</v>
      </c>
      <c r="F34" s="12" t="s">
        <v>195</v>
      </c>
      <c r="G34" s="12" t="s">
        <v>58</v>
      </c>
      <c r="H34" s="12" t="s">
        <v>156</v>
      </c>
      <c r="I34" s="13">
        <v>46073</v>
      </c>
      <c r="J34" s="14">
        <f>IFERROR(INDEX('Danh mục thiết bị'!$F$5:$F$53,MATCH(B34,'Danh mục thiết bị'!$A$5:$A$53,0)),0)</f>
        <v>36</v>
      </c>
      <c r="K34" s="15">
        <f t="shared" si="0"/>
        <v>47169</v>
      </c>
      <c r="L34" s="16">
        <f>IF(K34="","",K34-'Tham số'!$B$5)</f>
        <v>848</v>
      </c>
      <c r="M34" s="11" t="str">
        <f>IF(K34="","",IF(L34&lt;0,"Hết hạn",IF(L34&lt;='Tham số'!$B$6,"Sắp hết hạn","Còn hạn")))</f>
        <v>Còn hạn</v>
      </c>
      <c r="N34" s="12" t="s">
        <v>52</v>
      </c>
      <c r="O34" s="17">
        <f>IFERROR(INDEX('Danh mục thiết bị'!$E$5:$E$53,MATCH(B34,'Danh mục thiết bị'!$A$5:$A$53,0)),0)</f>
        <v>13900000</v>
      </c>
      <c r="P34" s="6" t="s">
        <v>199</v>
      </c>
    </row>
    <row r="35" ht="39.6" spans="1:16">
      <c r="A35" s="11" t="s">
        <v>200</v>
      </c>
      <c r="B35" s="12" t="s">
        <v>201</v>
      </c>
      <c r="C35" s="6" t="str">
        <f>IFERROR(INDEX('Danh mục thiết bị'!$B$5:$B$53,MATCH(B35,'Danh mục thiết bị'!$A$5:$A$53,0)),"")</f>
        <v>RAM Laptop Kingston HyperX SO-DIMM (Kit 2x4GB)</v>
      </c>
      <c r="D35" s="6" t="str">
        <f>IFERROR(INDEX('Danh mục thiết bị'!$C$5:$C$53,MATCH(B35,'Danh mục thiết bị'!$A$5:$A$53,0)),"")</f>
        <v>Linh kiện PC</v>
      </c>
      <c r="E35" s="12" t="s">
        <v>202</v>
      </c>
      <c r="F35" s="12" t="s">
        <v>195</v>
      </c>
      <c r="G35" s="12" t="s">
        <v>58</v>
      </c>
      <c r="H35" s="12" t="s">
        <v>156</v>
      </c>
      <c r="I35" s="13">
        <v>46073</v>
      </c>
      <c r="J35" s="14">
        <f>IFERROR(INDEX('Danh mục thiết bị'!$F$5:$F$53,MATCH(B35,'Danh mục thiết bị'!$A$5:$A$53,0)),0)</f>
        <v>36</v>
      </c>
      <c r="K35" s="15">
        <f t="shared" si="0"/>
        <v>47169</v>
      </c>
      <c r="L35" s="16">
        <f>IF(K35="","",K35-'Tham số'!$B$5)</f>
        <v>848</v>
      </c>
      <c r="M35" s="11" t="str">
        <f>IF(K35="","",IF(L35&lt;0,"Hết hạn",IF(L35&lt;='Tham số'!$B$6,"Sắp hết hạn","Còn hạn")))</f>
        <v>Còn hạn</v>
      </c>
      <c r="N35" s="12" t="s">
        <v>52</v>
      </c>
      <c r="O35" s="17">
        <f>IFERROR(INDEX('Danh mục thiết bị'!$E$5:$E$53,MATCH(B35,'Danh mục thiết bị'!$A$5:$A$53,0)),0)</f>
        <v>650000</v>
      </c>
      <c r="P35" s="6" t="s">
        <v>203</v>
      </c>
    </row>
    <row r="36" spans="1:16">
      <c r="A36" s="11" t="s">
        <v>204</v>
      </c>
      <c r="B36" s="12" t="s">
        <v>98</v>
      </c>
      <c r="C36" s="6" t="str">
        <f>IFERROR(INDEX('Danh mục thiết bị'!$B$5:$B$53,MATCH(B36,'Danh mục thiết bị'!$A$5:$A$53,0)),"")</f>
        <v>Laptop Lenovo ThinkPad T460</v>
      </c>
      <c r="D36" s="6" t="str">
        <f>IFERROR(INDEX('Danh mục thiết bị'!$C$5:$C$53,MATCH(B36,'Danh mục thiết bị'!$A$5:$A$53,0)),"")</f>
        <v>Laptop</v>
      </c>
      <c r="E36" s="12" t="s">
        <v>205</v>
      </c>
      <c r="F36" s="12" t="s">
        <v>195</v>
      </c>
      <c r="G36" s="12" t="s">
        <v>58</v>
      </c>
      <c r="H36" s="12" t="s">
        <v>206</v>
      </c>
      <c r="I36" s="13">
        <v>46073</v>
      </c>
      <c r="J36" s="14">
        <f>IFERROR(INDEX('Danh mục thiết bị'!$F$5:$F$53,MATCH(B36,'Danh mục thiết bị'!$A$5:$A$53,0)),0)</f>
        <v>24</v>
      </c>
      <c r="K36" s="15">
        <f t="shared" si="0"/>
        <v>46803</v>
      </c>
      <c r="L36" s="16">
        <f>IF(K36="","",K36-'Tham số'!$B$5)</f>
        <v>482</v>
      </c>
      <c r="M36" s="11" t="str">
        <f>IF(K36="","",IF(L36&lt;0,"Hết hạn",IF(L36&lt;='Tham số'!$B$6,"Sắp hết hạn","Còn hạn")))</f>
        <v>Còn hạn</v>
      </c>
      <c r="N36" s="12" t="s">
        <v>52</v>
      </c>
      <c r="O36" s="17">
        <f>IFERROR(INDEX('Danh mục thiết bị'!$E$5:$E$53,MATCH(B36,'Danh mục thiết bị'!$A$5:$A$53,0)),0)</f>
        <v>14900000</v>
      </c>
      <c r="P36" s="6" t="s">
        <v>207</v>
      </c>
    </row>
  </sheetData>
  <autoFilter xmlns:etc="http://www.wps.cn/officeDocument/2017/etCustomData" ref="A4:P36" etc:filterBottomFollowUsedRange="0">
    <extLst/>
  </autoFilter>
  <dataValidations count="4">
    <dataValidation type="list" allowBlank="1" showInputMessage="1" showErrorMessage="1" errorTitle="Dữ liệu không hợp lệ" error="Giá trị không nằm trong danh sách cho phép." promptTitle="Chọn giá trị" prompt="Chọn SKU trong danh mục" sqref="B5:B300">
      <formula1>DS_SKU</formula1>
    </dataValidation>
    <dataValidation type="list" allowBlank="1" showInputMessage="1" showErrorMessage="1" errorTitle="Dữ liệu không hợp lệ" error="Giá trị không nằm trong danh sách cho phép." promptTitle="Chọn giá trị" prompt="Chọn phòng ban" sqref="G5:G300">
      <formula1>"Kinh doanh,Kỹ thuật,Marketing,Nhân sự"</formula1>
    </dataValidation>
    <dataValidation type="list" allowBlank="1" showInputMessage="1" showErrorMessage="1" errorTitle="Dữ liệu không hợp lệ" error="Giá trị không nằm trong danh sách cho phép." promptTitle="Chọn giá trị" prompt="Chọn vị trí" sqref="H5:H300">
      <formula1>"Văn phòng Hà Nội,Phòng máy chủ Hà Nội,Kho Hà Nội,Kho Hồ Chí Minh"</formula1>
    </dataValidation>
    <dataValidation type="list" allowBlank="1" showInputMessage="1" showErrorMessage="1" errorTitle="Dữ liệu không hợp lệ" error="Giá trị không nằm trong danh sách cho phép." promptTitle="Chọn giá trị" prompt="Chọn tình trạng thiết bị" sqref="N5:N300">
      <formula1>"Đang sử dụng,Dự phòng,Đang sửa chữa,Chờ thanh lý"</formula1>
    </dataValidation>
  </dataValidations>
  <pageMargins left="0.75" right="0.75" top="1" bottom="1" header="0.5" footer="0.5"/>
  <pageSetup paperSize="1" fitToHeight="0" orientation="landscape"/>
  <headerFooter>
    <oddFooter>&amp;C&amp;"Arial"&amp;8 Tài liệu nội bộ — Công ty Demo SME — dùng cho mục đích minh hoạ đồ án&amp;R&amp;"Arial"&amp;8 Trang &amp;P/&amp;N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I23"/>
  <sheetViews>
    <sheetView workbookViewId="0">
      <pane xSplit="1" ySplit="4" topLeftCell="B5" activePane="bottomRight" state="frozen"/>
      <selection/>
      <selection pane="topRight"/>
      <selection pane="bottomLeft"/>
      <selection pane="bottomRight" activeCell="A1" sqref="A1"/>
    </sheetView>
  </sheetViews>
  <sheetFormatPr defaultColWidth="9" defaultRowHeight="13.2"/>
  <cols>
    <col min="1" max="1" width="28" customWidth="1"/>
    <col min="2" max="2" width="34" customWidth="1"/>
    <col min="3" max="3" width="13" customWidth="1"/>
    <col min="4" max="4" width="32" customWidth="1"/>
    <col min="5" max="5" width="16" customWidth="1"/>
    <col min="6" max="6" width="12" customWidth="1"/>
    <col min="7" max="7" width="20" customWidth="1"/>
    <col min="8" max="8" width="60" customWidth="1"/>
    <col min="9" max="9" width="50" customWidth="1"/>
  </cols>
  <sheetData>
    <row r="1" ht="22" customHeight="1" spans="1:9">
      <c r="A1" s="1" t="s">
        <v>208</v>
      </c>
    </row>
    <row r="2" spans="1:9">
      <c r="A2" s="2" t="s">
        <v>209</v>
      </c>
    </row>
    <row r="4" ht="44" customHeight="1" spans="1:9">
      <c r="A4" s="3" t="s">
        <v>87</v>
      </c>
      <c r="B4" s="3" t="s">
        <v>88</v>
      </c>
      <c r="C4" s="3" t="s">
        <v>64</v>
      </c>
      <c r="D4" s="3" t="s">
        <v>210</v>
      </c>
      <c r="E4" s="3" t="s">
        <v>211</v>
      </c>
      <c r="F4" s="3" t="s">
        <v>212</v>
      </c>
      <c r="G4" s="3" t="s">
        <v>213</v>
      </c>
      <c r="H4" s="3" t="s">
        <v>214</v>
      </c>
      <c r="I4" s="3" t="s">
        <v>215</v>
      </c>
    </row>
    <row r="5" ht="39.6" spans="1:9">
      <c r="A5" s="6" t="s">
        <v>153</v>
      </c>
      <c r="B5" s="6" t="s">
        <v>216</v>
      </c>
      <c r="C5" s="6" t="s">
        <v>67</v>
      </c>
      <c r="D5" s="6" t="s">
        <v>217</v>
      </c>
      <c r="E5" s="7">
        <v>18900000</v>
      </c>
      <c r="F5" s="8">
        <v>24</v>
      </c>
      <c r="G5" s="6" t="s">
        <v>218</v>
      </c>
      <c r="H5" s="6" t="s">
        <v>219</v>
      </c>
      <c r="I5" s="9" t="s">
        <v>220</v>
      </c>
    </row>
    <row r="6" ht="52.8" spans="1:9">
      <c r="A6" s="6" t="s">
        <v>98</v>
      </c>
      <c r="B6" s="6" t="s">
        <v>221</v>
      </c>
      <c r="C6" s="6" t="s">
        <v>67</v>
      </c>
      <c r="D6" s="6" t="s">
        <v>222</v>
      </c>
      <c r="E6" s="7">
        <v>14900000</v>
      </c>
      <c r="F6" s="8">
        <v>24</v>
      </c>
      <c r="G6" s="6" t="s">
        <v>218</v>
      </c>
      <c r="H6" s="6" t="s">
        <v>223</v>
      </c>
      <c r="I6" s="9" t="s">
        <v>224</v>
      </c>
    </row>
    <row r="7" ht="34.2" spans="1:9">
      <c r="A7" s="6" t="s">
        <v>131</v>
      </c>
      <c r="B7" s="6" t="s">
        <v>225</v>
      </c>
      <c r="C7" s="6" t="s">
        <v>67</v>
      </c>
      <c r="D7" s="6" t="s">
        <v>226</v>
      </c>
      <c r="E7" s="7">
        <v>26900000</v>
      </c>
      <c r="F7" s="8">
        <v>24</v>
      </c>
      <c r="G7" s="6" t="s">
        <v>227</v>
      </c>
      <c r="H7" s="6" t="s">
        <v>228</v>
      </c>
      <c r="I7" s="9" t="s">
        <v>229</v>
      </c>
    </row>
    <row r="8" ht="52.8" spans="1:9">
      <c r="A8" s="6" t="s">
        <v>110</v>
      </c>
      <c r="B8" s="6" t="s">
        <v>230</v>
      </c>
      <c r="C8" s="6" t="s">
        <v>68</v>
      </c>
      <c r="D8" s="6" t="s">
        <v>231</v>
      </c>
      <c r="E8" s="7">
        <v>24500000</v>
      </c>
      <c r="F8" s="8">
        <v>24</v>
      </c>
      <c r="G8" s="6" t="s">
        <v>227</v>
      </c>
      <c r="H8" s="6" t="s">
        <v>232</v>
      </c>
      <c r="I8" s="9" t="s">
        <v>233</v>
      </c>
    </row>
    <row r="9" ht="39.6" spans="1:9">
      <c r="A9" s="6" t="s">
        <v>122</v>
      </c>
      <c r="B9" s="6" t="s">
        <v>234</v>
      </c>
      <c r="C9" s="6" t="s">
        <v>68</v>
      </c>
      <c r="D9" s="6" t="s">
        <v>235</v>
      </c>
      <c r="E9" s="7">
        <v>8900000</v>
      </c>
      <c r="F9" s="8">
        <v>24</v>
      </c>
      <c r="G9" s="6" t="s">
        <v>227</v>
      </c>
      <c r="H9" s="6" t="s">
        <v>236</v>
      </c>
      <c r="I9" s="9" t="s">
        <v>237</v>
      </c>
    </row>
    <row r="10" ht="34.2" spans="1:9">
      <c r="A10" s="6" t="s">
        <v>169</v>
      </c>
      <c r="B10" s="6" t="s">
        <v>238</v>
      </c>
      <c r="C10" s="6" t="s">
        <v>69</v>
      </c>
      <c r="D10" s="6" t="s">
        <v>239</v>
      </c>
      <c r="E10" s="7">
        <v>7200000</v>
      </c>
      <c r="F10" s="8">
        <v>36</v>
      </c>
      <c r="G10" s="6" t="s">
        <v>218</v>
      </c>
      <c r="H10" s="6" t="s">
        <v>240</v>
      </c>
      <c r="I10" s="9" t="s">
        <v>241</v>
      </c>
    </row>
    <row r="11" ht="34.2" spans="1:9">
      <c r="A11" s="6" t="s">
        <v>193</v>
      </c>
      <c r="B11" s="6" t="s">
        <v>242</v>
      </c>
      <c r="C11" s="6" t="s">
        <v>69</v>
      </c>
      <c r="D11" s="6" t="s">
        <v>243</v>
      </c>
      <c r="E11" s="7">
        <v>6500000</v>
      </c>
      <c r="F11" s="8">
        <v>36</v>
      </c>
      <c r="G11" s="6" t="s">
        <v>218</v>
      </c>
      <c r="H11" s="6" t="s">
        <v>244</v>
      </c>
      <c r="I11" s="9" t="s">
        <v>245</v>
      </c>
    </row>
    <row r="12" ht="39.6" spans="1:9">
      <c r="A12" s="6" t="s">
        <v>201</v>
      </c>
      <c r="B12" s="6" t="s">
        <v>246</v>
      </c>
      <c r="C12" s="6" t="s">
        <v>69</v>
      </c>
      <c r="D12" s="6" t="s">
        <v>247</v>
      </c>
      <c r="E12" s="7">
        <v>650000</v>
      </c>
      <c r="F12" s="8">
        <v>36</v>
      </c>
      <c r="G12" s="6" t="s">
        <v>218</v>
      </c>
      <c r="H12" s="6" t="s">
        <v>248</v>
      </c>
      <c r="I12" s="9" t="s">
        <v>249</v>
      </c>
    </row>
    <row r="13" ht="45.6" spans="1:9">
      <c r="A13" s="6" t="s">
        <v>182</v>
      </c>
      <c r="B13" s="6" t="s">
        <v>250</v>
      </c>
      <c r="C13" s="6" t="s">
        <v>69</v>
      </c>
      <c r="D13" s="6" t="s">
        <v>251</v>
      </c>
      <c r="E13" s="7">
        <v>14900000</v>
      </c>
      <c r="F13" s="8">
        <v>36</v>
      </c>
      <c r="G13" s="6" t="s">
        <v>218</v>
      </c>
      <c r="H13" s="6" t="s">
        <v>252</v>
      </c>
      <c r="I13" s="9" t="s">
        <v>253</v>
      </c>
    </row>
    <row r="14" ht="45.6" spans="1:9">
      <c r="A14" s="6" t="s">
        <v>197</v>
      </c>
      <c r="B14" s="6" t="s">
        <v>254</v>
      </c>
      <c r="C14" s="6" t="s">
        <v>69</v>
      </c>
      <c r="D14" s="6" t="s">
        <v>255</v>
      </c>
      <c r="E14" s="7">
        <v>13900000</v>
      </c>
      <c r="F14" s="8">
        <v>36</v>
      </c>
      <c r="G14" s="6" t="s">
        <v>218</v>
      </c>
      <c r="H14" s="6" t="s">
        <v>256</v>
      </c>
      <c r="I14" s="9" t="s">
        <v>257</v>
      </c>
    </row>
    <row r="15" ht="26.4" spans="1:9">
      <c r="A15" s="6" t="s">
        <v>175</v>
      </c>
      <c r="B15" s="6" t="s">
        <v>258</v>
      </c>
      <c r="C15" s="6" t="s">
        <v>69</v>
      </c>
      <c r="D15" s="6" t="s">
        <v>259</v>
      </c>
      <c r="E15" s="7">
        <v>4500000</v>
      </c>
      <c r="F15" s="8">
        <v>36</v>
      </c>
      <c r="G15" s="6" t="s">
        <v>218</v>
      </c>
      <c r="H15" s="6" t="s">
        <v>260</v>
      </c>
      <c r="I15" s="9" t="s">
        <v>261</v>
      </c>
    </row>
    <row r="16" ht="45.6" spans="1:9">
      <c r="A16" s="6" t="s">
        <v>186</v>
      </c>
      <c r="B16" s="6" t="s">
        <v>262</v>
      </c>
      <c r="C16" s="6" t="s">
        <v>69</v>
      </c>
      <c r="D16" s="6" t="s">
        <v>263</v>
      </c>
      <c r="E16" s="7">
        <v>1850000</v>
      </c>
      <c r="F16" s="8">
        <v>36</v>
      </c>
      <c r="G16" s="6" t="s">
        <v>218</v>
      </c>
      <c r="H16" s="6" t="s">
        <v>264</v>
      </c>
      <c r="I16" s="9" t="s">
        <v>265</v>
      </c>
    </row>
    <row r="17" ht="39.6" spans="1:9">
      <c r="A17" s="6" t="s">
        <v>189</v>
      </c>
      <c r="B17" s="6" t="s">
        <v>266</v>
      </c>
      <c r="C17" s="6" t="s">
        <v>69</v>
      </c>
      <c r="D17" s="6" t="s">
        <v>267</v>
      </c>
      <c r="E17" s="7">
        <v>2100000</v>
      </c>
      <c r="F17" s="8">
        <v>36</v>
      </c>
      <c r="G17" s="10" t="s">
        <v>268</v>
      </c>
      <c r="H17" s="6" t="s">
        <v>269</v>
      </c>
      <c r="I17" s="9" t="s">
        <v>270</v>
      </c>
    </row>
    <row r="18" ht="66" spans="1:9">
      <c r="A18" s="6" t="s">
        <v>178</v>
      </c>
      <c r="B18" s="6" t="s">
        <v>271</v>
      </c>
      <c r="C18" s="6" t="s">
        <v>69</v>
      </c>
      <c r="D18" s="6" t="s">
        <v>272</v>
      </c>
      <c r="E18" s="7">
        <v>450000</v>
      </c>
      <c r="F18" s="8">
        <v>36</v>
      </c>
      <c r="G18" s="6" t="s">
        <v>218</v>
      </c>
      <c r="H18" s="6" t="s">
        <v>273</v>
      </c>
      <c r="I18" s="9" t="s">
        <v>274</v>
      </c>
    </row>
    <row r="19" ht="26.4" spans="1:9">
      <c r="A19" s="6" t="s">
        <v>115</v>
      </c>
      <c r="B19" s="6" t="s">
        <v>275</v>
      </c>
      <c r="C19" s="6" t="s">
        <v>70</v>
      </c>
      <c r="D19" s="6" t="s">
        <v>276</v>
      </c>
      <c r="E19" s="7">
        <v>7900000</v>
      </c>
      <c r="F19" s="8">
        <v>36</v>
      </c>
      <c r="G19" s="10" t="s">
        <v>268</v>
      </c>
      <c r="H19" s="6" t="s">
        <v>277</v>
      </c>
      <c r="I19" s="9" t="s">
        <v>278</v>
      </c>
    </row>
    <row r="20" ht="45.6" spans="1:9">
      <c r="A20" s="6" t="s">
        <v>126</v>
      </c>
      <c r="B20" s="6" t="s">
        <v>279</v>
      </c>
      <c r="C20" s="6" t="s">
        <v>70</v>
      </c>
      <c r="D20" s="6" t="s">
        <v>280</v>
      </c>
      <c r="E20" s="7">
        <v>1990000</v>
      </c>
      <c r="F20" s="8">
        <v>36</v>
      </c>
      <c r="G20" s="6" t="s">
        <v>218</v>
      </c>
      <c r="H20" s="6" t="s">
        <v>281</v>
      </c>
      <c r="I20" s="9" t="s">
        <v>282</v>
      </c>
    </row>
    <row r="21" ht="39.6" spans="1:9">
      <c r="A21" s="6" t="s">
        <v>119</v>
      </c>
      <c r="B21" s="6" t="s">
        <v>283</v>
      </c>
      <c r="C21" s="6" t="s">
        <v>71</v>
      </c>
      <c r="D21" s="6" t="s">
        <v>284</v>
      </c>
      <c r="E21" s="7">
        <v>1890000</v>
      </c>
      <c r="F21" s="8">
        <v>12</v>
      </c>
      <c r="G21" s="6" t="s">
        <v>227</v>
      </c>
      <c r="H21" s="6" t="s">
        <v>285</v>
      </c>
      <c r="I21" s="9" t="s">
        <v>286</v>
      </c>
    </row>
    <row r="22" ht="52.8" spans="1:9">
      <c r="A22" s="6" t="s">
        <v>103</v>
      </c>
      <c r="B22" s="6" t="s">
        <v>287</v>
      </c>
      <c r="C22" s="6" t="s">
        <v>71</v>
      </c>
      <c r="D22" s="6" t="s">
        <v>288</v>
      </c>
      <c r="E22" s="7">
        <v>450000</v>
      </c>
      <c r="F22" s="8">
        <v>12</v>
      </c>
      <c r="G22" s="6" t="s">
        <v>227</v>
      </c>
      <c r="H22" s="6" t="s">
        <v>289</v>
      </c>
      <c r="I22" s="9" t="s">
        <v>290</v>
      </c>
    </row>
    <row r="23" ht="52.8" spans="1:9">
      <c r="A23" s="6" t="s">
        <v>106</v>
      </c>
      <c r="B23" s="6" t="s">
        <v>291</v>
      </c>
      <c r="C23" s="6" t="s">
        <v>71</v>
      </c>
      <c r="D23" s="6" t="s">
        <v>292</v>
      </c>
      <c r="E23" s="7">
        <v>1450000</v>
      </c>
      <c r="F23" s="8">
        <v>12</v>
      </c>
      <c r="G23" s="6" t="s">
        <v>227</v>
      </c>
      <c r="H23" s="6" t="s">
        <v>293</v>
      </c>
      <c r="I23" s="9" t="s">
        <v>294</v>
      </c>
    </row>
  </sheetData>
  <autoFilter xmlns:etc="http://www.wps.cn/officeDocument/2017/etCustomData" ref="A4:I23" etc:filterBottomFollowUsedRange="0">
    <extLst/>
  </autoFilter>
  <pageMargins left="0.75" right="0.75" top="1" bottom="1" header="0.5" footer="0.5"/>
  <pageSetup paperSize="1" fitToHeight="0" orientation="landscape"/>
  <headerFooter>
    <oddFooter>&amp;C&amp;"Arial"&amp;8 Tài liệu nội bộ — Công ty Demo SME — dùng cho mục đích minh hoạ đồ án&amp;R&amp;"Arial"&amp;8 Trang &amp;P/&amp;N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G8"/>
  <sheetViews>
    <sheetView workbookViewId="0">
      <pane ySplit="4" topLeftCell="A5" activePane="bottomLeft" state="frozen"/>
      <selection/>
      <selection pane="bottomLeft" activeCell="A1" sqref="A1"/>
    </sheetView>
  </sheetViews>
  <sheetFormatPr defaultColWidth="9" defaultRowHeight="13.2" outlineLevelRow="7" outlineLevelCol="6"/>
  <cols>
    <col min="1" max="1" width="32" customWidth="1"/>
    <col min="2" max="2" width="14" customWidth="1"/>
    <col min="3" max="3" width="28" customWidth="1"/>
    <col min="4" max="4" width="3" customWidth="1"/>
    <col min="5" max="5" width="16" customWidth="1"/>
    <col min="6" max="6" width="20" customWidth="1"/>
    <col min="7" max="7" width="24" customWidth="1"/>
  </cols>
  <sheetData>
    <row r="1" ht="22" customHeight="1" spans="1:7">
      <c r="A1" s="1" t="s">
        <v>295</v>
      </c>
    </row>
    <row r="2" spans="1:7">
      <c r="A2" s="2" t="s">
        <v>296</v>
      </c>
    </row>
    <row r="4" ht="32" customHeight="1" spans="1:7">
      <c r="A4" s="3" t="s">
        <v>30</v>
      </c>
      <c r="B4" s="3" t="s">
        <v>297</v>
      </c>
      <c r="C4" s="3" t="s">
        <v>75</v>
      </c>
      <c r="E4" s="3" t="s">
        <v>50</v>
      </c>
      <c r="F4" s="3" t="s">
        <v>96</v>
      </c>
      <c r="G4" s="3" t="s">
        <v>91</v>
      </c>
    </row>
    <row r="5" spans="1:7">
      <c r="A5" s="4" t="s">
        <v>83</v>
      </c>
      <c r="B5" s="5">
        <v>46321</v>
      </c>
      <c r="C5" s="6" t="s">
        <v>298</v>
      </c>
      <c r="E5" s="6" t="s">
        <v>57</v>
      </c>
      <c r="F5" s="6" t="s">
        <v>51</v>
      </c>
      <c r="G5" s="6" t="s">
        <v>101</v>
      </c>
    </row>
    <row r="6" spans="1:7">
      <c r="A6" s="4" t="s">
        <v>299</v>
      </c>
      <c r="B6" s="7">
        <v>90</v>
      </c>
      <c r="C6" s="6" t="s">
        <v>300</v>
      </c>
      <c r="E6" s="6" t="s">
        <v>58</v>
      </c>
      <c r="F6" s="6" t="s">
        <v>52</v>
      </c>
      <c r="G6" s="6" t="s">
        <v>172</v>
      </c>
    </row>
    <row r="7" spans="1:7">
      <c r="E7" s="6" t="s">
        <v>59</v>
      </c>
      <c r="F7" s="6" t="s">
        <v>53</v>
      </c>
      <c r="G7" s="6" t="s">
        <v>156</v>
      </c>
    </row>
    <row r="8" spans="1:7">
      <c r="E8" s="6" t="s">
        <v>60</v>
      </c>
      <c r="F8" s="6" t="s">
        <v>54</v>
      </c>
      <c r="G8" s="6" t="s">
        <v>206</v>
      </c>
    </row>
  </sheetData>
  <pageMargins left="0.75" right="0.75" top="1" bottom="1" header="0.5" footer="0.5"/>
  <pageSetup paperSize="1" fitToHeight="0" orientation="landscape"/>
  <headerFooter>
    <oddFooter>&amp;C&amp;"Arial"&amp;8 Tài liệu nội bộ — Công ty Demo SME — dùng cho mục đích minh hoạ đồ án&amp;R&amp;"Arial"&amp;8 Trang &amp;P/&amp;N</oddFooter>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Thông tin</vt:lpstr>
      <vt:lpstr>Tổng hợp</vt:lpstr>
      <vt:lpstr>Kiểm kê</vt:lpstr>
      <vt:lpstr>Danh mục thiết bị</vt:lpstr>
      <vt:lpstr>Tham số</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2026-10-26T06:51:00Z</dcterms:created>
  <dcterms:modified xsi:type="dcterms:W3CDTF">2026-10-26T06:52:04Z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070BBF1A17A143078C98DF94E74300DB_12</vt:lpwstr>
  </property>
  <property fmtid="{D5CDD505-2E9C-101B-9397-08002B2CF9AE}" pid="3" name="KSOProductBuildVer">
    <vt:lpwstr>1033-12.1.0.29162</vt:lpwstr>
  </property>
  <property fmtid="{D5CDD505-2E9C-101B-9397-08002B2CF9AE}" pid="4" name="CalculationRule">
    <vt:i4>0</vt:i4>
  </property>
</Properties>
</file>