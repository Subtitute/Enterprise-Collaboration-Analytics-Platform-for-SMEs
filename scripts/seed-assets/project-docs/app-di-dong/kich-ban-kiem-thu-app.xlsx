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Thông tin" sheetId="1" r:id="rId1"/>
    <sheet name="Tổng hợp" sheetId="2" r:id="rId2"/>
    <sheet name="Kịch bản kiểm thử" sheetId="3" r:id="rId3"/>
    <sheet name="Danh sách" sheetId="4" r:id="rId4"/>
  </sheets>
  <definedNames>
    <definedName name="_xlnm._FilterDatabase" localSheetId="2" hidden="1">'Kịch bản kiểm thử'!$A$4:$N$50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<sst xmlns="http://schemas.openxmlformats.org/spreadsheetml/2006/main" count="717" uniqueCount="362">
  <si>
    <t>Danh sách kịch bản kiểm thử chức năng ứng dụng di động</t>
  </si>
  <si>
    <t>Dự án</t>
  </si>
  <si>
    <t>Ứng dụng di động bán hàng</t>
  </si>
  <si>
    <t>Nền tảng</t>
  </si>
  <si>
    <t>ECAP — nền tảng cộng tác và phân tích dữ liệu cho doanh nghiệp vừa và nhỏ</t>
  </si>
  <si>
    <t>Đơn vị</t>
  </si>
  <si>
    <t>Công ty Demo SME (kinh doanh máy tính, linh kiện và phụ kiện)</t>
  </si>
  <si>
    <t>Người đọc</t>
  </si>
  <si>
    <t>Kiểm thử viên, trưởng nhóm phát triển</t>
  </si>
  <si>
    <t>Phiên bản</t>
  </si>
  <si>
    <t>1.0</t>
  </si>
  <si>
    <t>Ngày phát hành</t>
  </si>
  <si>
    <t>Phân loại</t>
  </si>
  <si>
    <t>Tài liệu nội bộ — Công ty Demo SME — dùng cho mục đích minh hoạ đồ án</t>
  </si>
  <si>
    <t>Số liệu</t>
  </si>
  <si>
    <t>Trạng thái kiểm thử là kết quả minh hoạ (số liệu minh hoạ).</t>
  </si>
  <si>
    <t>Chú giải</t>
  </si>
  <si>
    <t>Giá trị mẫu</t>
  </si>
  <si>
    <t>Ô nhập liệu (nền vàng, chữ xanh): người dùng được sửa hoặc nhập mới; mọi công thức tự tính lại.</t>
  </si>
  <si>
    <t>Công thức</t>
  </si>
  <si>
    <t>Ô công thức (nền trắng, chữ đen): tính tự động, không nhập đè.</t>
  </si>
  <si>
    <t>Tiêu đề</t>
  </si>
  <si>
    <t>Dòng tiêu đề bảng: đã cố định (freeze) và bật bộ lọc.</t>
  </si>
  <si>
    <t>Cấu trúc workbook</t>
  </si>
  <si>
    <t>Tổng hợp</t>
  </si>
  <si>
    <t>Số kịch bản theo phân hệ và trạng thái, tỷ lệ đạt và tiến độ tính bằng COUNTIFS; kết luận phát hành theo tiêu chí; biểu đồ.</t>
  </si>
  <si>
    <t>Kịch bản kiểm thử</t>
  </si>
  <si>
    <t>46 kịch bản cho 11 phân hệ của ứng dụng di động ECAP (Flutter, Android). Cột Trạng thái là ô chọn.</t>
  </si>
  <si>
    <t>Danh sách</t>
  </si>
  <si>
    <t>Giá trị cho các ô chọn: trạng thái, mức ưu tiên.</t>
  </si>
  <si>
    <t>Giả định và nguồn dữ liệu</t>
  </si>
  <si>
    <t>1.</t>
  </si>
  <si>
    <t>Kịch bản bám theo các màn hình có thật trong ứng dụng (ecap-mobile/lib/features): đăng nhập, quên/đặt lại mật khẩu, chấm công, nghỉ phép, công việc, tài liệu, thông báo, nhắn tin, hẹn lịch nghỉ qua chat, hồ sơ và kết nối (tự nhận địa chỉ Gateway từ cấu hình từ xa).</t>
  </si>
  <si>
    <t>2.</t>
  </si>
  <si>
    <t>Thông điệp mong đợi trích từ giao diện ứng dụng; các chức năng ngoài phạm vi mobile (CRM, báo cáo, quản trị, duyệt nghỉ phép) chỉ được kiểm tra là không xuất hiện.</t>
  </si>
  <si>
    <t>3.</t>
  </si>
  <si>
    <t>Trạng thái, ngày kiểm thử và người kiểm thử là kết quả một lần chạy minh hoạ — cập nhật khi chạy thật.</t>
  </si>
  <si>
    <t>4.</t>
  </si>
  <si>
    <t>Đã chạy = Đạt + Không đạt (kịch bản Bị chặn chưa thực hiện được nên không tính). Tỷ lệ đạt = Đạt / Đã chạy. Tiến độ = Đã chạy / Tổng.</t>
  </si>
  <si>
    <t>5.</t>
  </si>
  <si>
    <t>Tiêu chí phát hành (giả định minh hoạ, sửa ở sheet Tổng hợp): tỷ lệ đạt ≥ 95% và không có kịch bản ưu tiên Cao bị Không đạt.</t>
  </si>
  <si>
    <t>6.</t>
  </si>
  <si>
    <t>Không ghi mật khẩu trong tài liệu; dùng tài khoản demo theo hướng dẫn nội bộ của dự án.</t>
  </si>
  <si>
    <t>Tổng hợp kết quả kiểm thử</t>
  </si>
  <si>
    <t>Mọi ô số là công thức COUNTIFS từ sheet Kịch bản kiểm thử; số liệu minh hoạ.</t>
  </si>
  <si>
    <t>1. Theo phân hệ</t>
  </si>
  <si>
    <t>Phân hệ</t>
  </si>
  <si>
    <t>Tổng kịch bản</t>
  </si>
  <si>
    <t>Đạt</t>
  </si>
  <si>
    <t>Không đạt</t>
  </si>
  <si>
    <t>Bị chặn</t>
  </si>
  <si>
    <t>Chưa chạy</t>
  </si>
  <si>
    <t>Đã chạy</t>
  </si>
  <si>
    <t>Tỷ lệ đạt</t>
  </si>
  <si>
    <t>Tiến độ thực hiện</t>
  </si>
  <si>
    <t>Đăng nhập</t>
  </si>
  <si>
    <t>Quên/Đặt lại mật khẩu</t>
  </si>
  <si>
    <t>Chấm công</t>
  </si>
  <si>
    <t>Nghỉ phép</t>
  </si>
  <si>
    <t>Công việc</t>
  </si>
  <si>
    <t>Tài liệu</t>
  </si>
  <si>
    <t>Thông báo</t>
  </si>
  <si>
    <t>Nhắn tin</t>
  </si>
  <si>
    <t>Hẹn lịch nghỉ</t>
  </si>
  <si>
    <t>Hồ sơ</t>
  </si>
  <si>
    <t>Kết nối</t>
  </si>
  <si>
    <t>Tổng cộng</t>
  </si>
  <si>
    <t>Kiểm tra</t>
  </si>
  <si>
    <t>2. Theo mức ưu tiên</t>
  </si>
  <si>
    <t>Mức ưu tiên</t>
  </si>
  <si>
    <t>Cao</t>
  </si>
  <si>
    <t>Trung bình</t>
  </si>
  <si>
    <t>Thấp</t>
  </si>
  <si>
    <t>3. Kết luận phát hành</t>
  </si>
  <si>
    <t>Chỉ tiêu</t>
  </si>
  <si>
    <t>Giá trị</t>
  </si>
  <si>
    <t>Ghi chú</t>
  </si>
  <si>
    <t>Ngưỡng tỷ lệ đạt tối thiểu</t>
  </si>
  <si>
    <t>Ô nhập liệu — tiêu chí giả định minh hoạ</t>
  </si>
  <si>
    <t>Tỷ lệ đạt hiện tại</t>
  </si>
  <si>
    <t>Đạt / (Đạt + Không đạt)</t>
  </si>
  <si>
    <t>Đã chạy / Tổng</t>
  </si>
  <si>
    <t>Số kịch bản ưu tiên Cao bị Không đạt</t>
  </si>
  <si>
    <t>Phải bằng 0</t>
  </si>
  <si>
    <t>Số kịch bản chưa chạy hoặc bị chặn</t>
  </si>
  <si>
    <t>Cần xử lý trước khi chốt</t>
  </si>
  <si>
    <t>Kết luận</t>
  </si>
  <si>
    <t>Kịch bản kiểm thử chức năng — ứng dụng di động ECAP</t>
  </si>
  <si>
    <t>Cột Trạng thái, Ngày kiểm thử, Người kiểm thử, Ghi chú là ô nhập liệu.</t>
  </si>
  <si>
    <t>Mã TC</t>
  </si>
  <si>
    <t>Màn hình</t>
  </si>
  <si>
    <t>Tiêu đề kịch bản</t>
  </si>
  <si>
    <t>Điều kiện tiên quyết</t>
  </si>
  <si>
    <t>Các bước thực hiện</t>
  </si>
  <si>
    <t>Dữ liệu kiểm thử</t>
  </si>
  <si>
    <t>Kết quả mong đợi</t>
  </si>
  <si>
    <t>Vai trò</t>
  </si>
  <si>
    <t>Trạng thái</t>
  </si>
  <si>
    <t>Ngày kiểm thử</t>
  </si>
  <si>
    <t>Người kiểm thử</t>
  </si>
  <si>
    <t>TC-01</t>
  </si>
  <si>
    <t>LoginPage</t>
  </si>
  <si>
    <t>Đăng nhập thành công bằng tài khoản Employee</t>
  </si>
  <si>
    <t>Ứng dụng đã cài, có kết nối tới Gateway</t>
  </si>
  <si>
    <t>1. Mở ứng dụng
2. Nhập email và mật khẩu
3. Bấm "Đăng nhập"</t>
  </si>
  <si>
    <t>Tài khoản Employee demo (an.nguyen+141603@demo-sme.vn)</t>
  </si>
  <si>
    <t>Vào màn hình chính với 7 tab: Chấm công, Nghỉ phép, Công việc, Tài liệu, Thông báo, Nhắn tin, Hồ sơ</t>
  </si>
  <si>
    <t>Employee</t>
  </si>
  <si>
    <t>Nhóm kiểm thử</t>
  </si>
  <si>
    <t/>
  </si>
  <si>
    <t>TC-02</t>
  </si>
  <si>
    <t>Đăng nhập sai mật khẩu</t>
  </si>
  <si>
    <t>Ứng dụng đã cài</t>
  </si>
  <si>
    <t>1. Nhập email đúng, mật khẩu sai
2. Bấm "Đăng nhập"</t>
  </si>
  <si>
    <t>Mật khẩu sai bất kỳ</t>
  </si>
  <si>
    <t>Hiện thông báo lỗi, vẫn ở màn hình đăng nhập, không lưu phiên</t>
  </si>
  <si>
    <t>TC-03</t>
  </si>
  <si>
    <t>Tự động đăng nhập lại khi mở lại ứng dụng</t>
  </si>
  <si>
    <t>Đã đăng nhập trước đó, chưa đăng xuất</t>
  </si>
  <si>
    <t>1. Đóng hẳn ứng dụng
2. Mở lại</t>
  </si>
  <si>
    <t>—</t>
  </si>
  <si>
    <t>Vào thẳng màn hình chính nhờ làm mới token (POST /auth/refresh), không phải nhập lại mật khẩu</t>
  </si>
  <si>
    <t>TC-04</t>
  </si>
  <si>
    <t>Hiển thị thông tin màn hình đăng nhập</t>
  </si>
  <si>
    <t>Chưa đăng nhập</t>
  </si>
  <si>
    <t>1. Mở ứng dụng
2. Quan sát màn hình</t>
  </si>
  <si>
    <t>Có dòng mô tả "Chấm công · Nghỉ phép · Công việc · Tài liệu" và liên kết "Quên mật khẩu?"</t>
  </si>
  <si>
    <t>TC-05</t>
  </si>
  <si>
    <t>ForgotPasswordPage</t>
  </si>
  <si>
    <t>Gửi liên kết khi để trống email</t>
  </si>
  <si>
    <t>Đang ở màn hình Quên mật khẩu</t>
  </si>
  <si>
    <t>1. Để trống ô email
2. Bấm "Gửi liên kết"</t>
  </si>
  <si>
    <t>Email rỗng</t>
  </si>
  <si>
    <t>Hiện "Vui lòng nhập email", không gọi API</t>
  </si>
  <si>
    <t>TC-06</t>
  </si>
  <si>
    <t>Gửi liên kết đặt lại mật khẩu</t>
  </si>
  <si>
    <t>1. Nhập email đăng nhập
2. Bấm "Gửi liên kết"</t>
  </si>
  <si>
    <t>Hiện thông báo: nếu email tồn tại trong hệ thống, một liên kết đặt lại mật khẩu đã được gửi tới hộp thư</t>
  </si>
  <si>
    <t>TC-07</t>
  </si>
  <si>
    <t>ResetPasswordPage</t>
  </si>
  <si>
    <t>Mật khẩu mới ngắn hơn 8 ký tự</t>
  </si>
  <si>
    <t>Đã có mã đặt lại mật khẩu (token)</t>
  </si>
  <si>
    <t>1. Dán token
2. Nhập mật khẩu mới 6 ký tự
3. Bấm "Đặt lại mật khẩu"</t>
  </si>
  <si>
    <t>Mật khẩu 6 ký tự</t>
  </si>
  <si>
    <t>Hiện "Mật khẩu mới phải có ít nhất 8 ký tự"</t>
  </si>
  <si>
    <t>TC-08</t>
  </si>
  <si>
    <t>Xác nhận mật khẩu không khớp</t>
  </si>
  <si>
    <t>Đã có token</t>
  </si>
  <si>
    <t>1. Nhập mật khẩu mới và xác nhận khác nhau
2. Bấm "Đặt lại mật khẩu"</t>
  </si>
  <si>
    <t>Hai mật khẩu khác nhau</t>
  </si>
  <si>
    <t>Hiện "Xác nhận mật khẩu không khớp"</t>
  </si>
  <si>
    <t>TC-09</t>
  </si>
  <si>
    <t>Đặt lại mật khẩu thành công bằng token dán tay</t>
  </si>
  <si>
    <t>Đã nhận email đặt lại, sao chép phần sau "?token="</t>
  </si>
  <si>
    <t>1. Bấm "Đã có mã đặt lại mật khẩu? Nhập tại đây"
2. Dán token, nhập mật khẩu mới hợp lệ hai lần
3. Bấm "Đặt lại mật khẩu"</t>
  </si>
  <si>
    <t>Token hợp lệ, mật khẩu ≥ 8 ký tự</t>
  </si>
  <si>
    <t>Hiện "Đặt lại mật khẩu thành công. Hãy đăng nhập lại bằng mật khẩu mới." và nút "Về trang đăng nhập"</t>
  </si>
  <si>
    <t>Ứng dụng chưa xử lý deep-link, token dán tay là thiết kế có chủ đích</t>
  </si>
  <si>
    <t>TC-10</t>
  </si>
  <si>
    <t>AttendancePage</t>
  </si>
  <si>
    <t>Chấm công vào làm kèm ảnh</t>
  </si>
  <si>
    <t>Đã đăng nhập bằng tài khoản Employee demo, đã cấp quyền camera, chưa chấm công hôm nay</t>
  </si>
  <si>
    <t>1. Mở tab Chấm công
2. Bấm "Vào làm"
3. Chụp ảnh và xác nhận</t>
  </si>
  <si>
    <t>Ảnh chụp bằng camera thật</t>
  </si>
  <si>
    <t>Hiện "Chấm công vào làm thành công"; khối "Hôm nay" hiện "Vào làm lúc: ..."</t>
  </si>
  <si>
    <t>TC-11</t>
  </si>
  <si>
    <t>Chấm công ra về kèm ảnh</t>
  </si>
  <si>
    <t>Đã chấm công vào làm hôm nay</t>
  </si>
  <si>
    <t>1. Bấm "Ra về"
2. Chụp ảnh và xác nhận</t>
  </si>
  <si>
    <t>Hiện "Chấm công ra về thành công"; khối "Hôm nay" hiện "Ra về lúc: ..."</t>
  </si>
  <si>
    <t>TC-12</t>
  </si>
  <si>
    <t>Từ chối quyền camera</t>
  </si>
  <si>
    <t>Quyền camera của ứng dụng bị tắt</t>
  </si>
  <si>
    <t>1. Bấm "Vào làm"</t>
  </si>
  <si>
    <t>Hiện "Không thể truy cập camera, vui lòng kiểm tra quyền truy cập"; ứng dụng không bị thoát</t>
  </si>
  <si>
    <t>TC-13</t>
  </si>
  <si>
    <t>Chấm công khi tắt dịch vụ vị trí</t>
  </si>
  <si>
    <t>Tắt GPS hoặc từ chối quyền vị trí</t>
  </si>
  <si>
    <t>1. Bấm "Vào làm"
2. Chụp ảnh và xác nhận</t>
  </si>
  <si>
    <t>Vẫn chấm công thành công (vị trí là tín hiệu mềm, không chặn check-in/out); không hiện cờ vị trí</t>
  </si>
  <si>
    <t>TC-14</t>
  </si>
  <si>
    <t>Hiển thị cờ vị trí "Tại văn phòng"/"Ngoài văn phòng"</t>
  </si>
  <si>
    <t>Bật GPS, đã cấp quyền vị trí</t>
  </si>
  <si>
    <t>1. Chấm công tại văn phòng
2. Chấm công ở vị trí khác (ngày khác)</t>
  </si>
  <si>
    <t>Hai vị trí khác nhau</t>
  </si>
  <si>
    <t>Bản ghi hiện đúng "Tại văn phòng" hoặc "Ngoài văn phòng" ở khối Hôm nay và Lịch sử chấm công</t>
  </si>
  <si>
    <t>Cần chạy tại văn phòng thật</t>
  </si>
  <si>
    <t>TC-15</t>
  </si>
  <si>
    <t>Xem lịch sử chấm công</t>
  </si>
  <si>
    <t>Đã đăng nhập bằng tài khoản Employee demo</t>
  </si>
  <si>
    <t>1. Mở tab Chấm công
2. Cuộn xuống "Lịch sử chấm công"</t>
  </si>
  <si>
    <t>Mỗi dòng hiện "Vào: ... · Ra: ..."; tài khoản mới hiện "Chưa có bản ghi chấm công nào"</t>
  </si>
  <si>
    <t>TC-16</t>
  </si>
  <si>
    <t>LeaveRequestsPage</t>
  </si>
  <si>
    <t>Tạo yêu cầu nghỉ phép hợp lệ</t>
  </si>
  <si>
    <t>1. Mở tab Nghỉ phép
2. Bấm "Tạo yêu cầu"
3. Chọn ngày bắt đầu, ngày kết thúc, nhập lý do
4. Bấm "Gửi"</t>
  </si>
  <si>
    <t>2 ngày liên tiếp, lý do "Việc gia đình"</t>
  </si>
  <si>
    <t>Yêu cầu mới xuất hiện trong danh sách với trạng thái "Chờ duyệt" và khoảng ngày "dd/mm/yyyy → dd/mm/yyyy"</t>
  </si>
  <si>
    <t>TC-17</t>
  </si>
  <si>
    <t>Thiếu lý do khi tạo yêu cầu</t>
  </si>
  <si>
    <t>Đang mở hộp thoại Tạo yêu cầu nghỉ phép</t>
  </si>
  <si>
    <t>1. Chọn ngày, để trống lý do
2. Bấm "Gửi"</t>
  </si>
  <si>
    <t>Lý do rỗng</t>
  </si>
  <si>
    <t>Hiện "Vui lòng nhập đầy đủ ngày bắt đầu, ngày kết thúc và lý do"</t>
  </si>
  <si>
    <t>TC-18</t>
  </si>
  <si>
    <t>Ngày kết thúc trước ngày bắt đầu</t>
  </si>
  <si>
    <t>1. Chọn ngày kết thúc sớm hơn ngày bắt đầu
2. Bấm "Gửi"</t>
  </si>
  <si>
    <t>Bắt đầu 30/10, kết thúc 29/10</t>
  </si>
  <si>
    <t>Hiện "Ngày kết thúc phải sau hoặc bằng ngày bắt đầu"</t>
  </si>
  <si>
    <t>TC-19</t>
  </si>
  <si>
    <t>Cập nhật trạng thái sau khi được duyệt trên web</t>
  </si>
  <si>
    <t>Có yêu cầu "Chờ duyệt"; Manager duyệt hoặc từ chối trên web</t>
  </si>
  <si>
    <t>1. Manager duyệt yêu cầu trên web
2. Trên điện thoại, kéo để làm mới danh sách</t>
  </si>
  <si>
    <t>Trạng thái đổi thành "Đã duyệt" hoặc "Đã từ chối"</t>
  </si>
  <si>
    <t>Employee + Manager (web)</t>
  </si>
  <si>
    <t>Chờ tài khoản Manager duyệt đơn trên web</t>
  </si>
  <si>
    <t>TC-20</t>
  </si>
  <si>
    <t>Không có chức năng duyệt nghỉ phép trên mobile</t>
  </si>
  <si>
    <t>1. Mở tab Nghỉ phép
2. Quan sát các nút thao tác</t>
  </si>
  <si>
    <t>Chỉ có tạo và xem yêu cầu của chính mình; không có nút duyệt/từ chối (thuộc web)</t>
  </si>
  <si>
    <t>Kiểm tra phạm vi</t>
  </si>
  <si>
    <t>TC-21</t>
  </si>
  <si>
    <t>TasksPage</t>
  </si>
  <si>
    <t>Chỉ hiện công việc được giao cho mình</t>
  </si>
  <si>
    <t>Tài khoản được giao ít nhất 1 công việc ở một dự án</t>
  </si>
  <si>
    <t>1. Mở tab Công việc</t>
  </si>
  <si>
    <t>Danh sách chỉ gồm công việc có mình là người phụ trách, mỗi dòng kèm tên dự án</t>
  </si>
  <si>
    <t>TC-22</t>
  </si>
  <si>
    <t>Chuyển Cần làm → Đang làm</t>
  </si>
  <si>
    <t>Có công việc trạng thái "Cần làm"</t>
  </si>
  <si>
    <t>1. Mở menu trạng thái của công việc
2. Chọn "Chuyển sang: Đang làm"</t>
  </si>
  <si>
    <t>Menu chỉ có bước hợp lệ "Đang làm"; trạng thái cập nhật ngay sau khi chọn</t>
  </si>
  <si>
    <t>TC-23</t>
  </si>
  <si>
    <t>Chuyển Đang làm → Hoàn thành</t>
  </si>
  <si>
    <t>Có công việc trạng thái "Đang làm"</t>
  </si>
  <si>
    <t>1. Mở menu trạng thái
2. Chọn "Chuyển sang: Hoàn thành"</t>
  </si>
  <si>
    <t>Menu hiện "Cần làm" và "Hoàn thành"; chọn Hoàn thành thì trạng thái cập nhật</t>
  </si>
  <si>
    <t>TC-24</t>
  </si>
  <si>
    <t>Tài khoản chưa được giao việc</t>
  </si>
  <si>
    <t>Tài khoản không có công việc nào</t>
  </si>
  <si>
    <t>Hiện "Bạn chưa được giao công việc nào"</t>
  </si>
  <si>
    <t>TC-25</t>
  </si>
  <si>
    <t>Không có tạo/xoá công việc và Kanban</t>
  </si>
  <si>
    <t>1. Mở tab Công việc
2. Quan sát thao tác có sẵn</t>
  </si>
  <si>
    <t>Không có nút tạo/xoá công việc, không có bảng Kanban kéo-thả</t>
  </si>
  <si>
    <t>TC-26</t>
  </si>
  <si>
    <t>DocumentsPage</t>
  </si>
  <si>
    <t>Duyệt cây thư mục</t>
  </si>
  <si>
    <t>Tổ chức có thư mục và file mẫu</t>
  </si>
  <si>
    <t>1. Mở tab Tài liệu
2. Mở một thư mục con
3. Quay lại thư mục cha</t>
  </si>
  <si>
    <t>Hiện đúng thư mục con và file của từng cấp; quay lại đúng cấp trước</t>
  </si>
  <si>
    <t>TC-27</t>
  </si>
  <si>
    <t>Mở file PDF</t>
  </si>
  <si>
    <t>Thư mục có file PDF</t>
  </si>
  <si>
    <t>1. Bấm vào file PDF</t>
  </si>
  <si>
    <t>File PDF mẫu</t>
  </si>
  <si>
    <t>File mở bằng trình duyệt hoặc trình xem PDF mặc định của điện thoại</t>
  </si>
  <si>
    <t>TC-28</t>
  </si>
  <si>
    <t>Tải file lên thư mục hiện tại</t>
  </si>
  <si>
    <t>Đang ở một thư mục</t>
  </si>
  <si>
    <t>1. Bấm nút tải lên
2. Chọn một file trong bộ nhớ máy</t>
  </si>
  <si>
    <t>File ảnh hoặc PDF dưới 10 MB</t>
  </si>
  <si>
    <t>File mới xuất hiện trong danh sách của thư mục</t>
  </si>
  <si>
    <t>TC-29</t>
  </si>
  <si>
    <t>Huỷ chọn file khi tải lên</t>
  </si>
  <si>
    <t>1. Bấm nút tải lên
2. Đóng trình chọn file mà không chọn</t>
  </si>
  <si>
    <t>Không có lỗi, ứng dụng không bị thoát, danh sách giữ nguyên</t>
  </si>
  <si>
    <t>Hồi quy lỗi danh sách file rỗng đã sửa</t>
  </si>
  <si>
    <t>TC-30</t>
  </si>
  <si>
    <t>Thư mục trống</t>
  </si>
  <si>
    <t>Có thư mục không chứa gì</t>
  </si>
  <si>
    <t>1. Mở thư mục trống</t>
  </si>
  <si>
    <t>Hiện "Thư mục này chưa có nội dung nào"</t>
  </si>
  <si>
    <t>TC-31</t>
  </si>
  <si>
    <t>NotificationsPage</t>
  </si>
  <si>
    <t>Xem và làm mới danh sách thông báo</t>
  </si>
  <si>
    <t>1. Mở tab Thông báo
2. Kéo xuống để làm mới</t>
  </si>
  <si>
    <t>Hiện danh sách thông báo mới nhất; tài khoản chưa có thì hiện "Chưa có thông báo nào"</t>
  </si>
  <si>
    <t>TC-32</t>
  </si>
  <si>
    <t>Đánh dấu một thông báo đã đọc</t>
  </si>
  <si>
    <t>Có thông báo chưa đọc</t>
  </si>
  <si>
    <t>1. Bấm vào một thông báo chưa đọc</t>
  </si>
  <si>
    <t>Thông báo chuyển sang trạng thái đã đọc</t>
  </si>
  <si>
    <t>TC-33</t>
  </si>
  <si>
    <t>Đánh dấu tất cả đã đọc</t>
  </si>
  <si>
    <t>Có nhiều thông báo chưa đọc</t>
  </si>
  <si>
    <t>1. Bấm "Đánh dấu tất cả đã đọc"</t>
  </si>
  <si>
    <t>Mọi thông báo chuyển sang đã đọc</t>
  </si>
  <si>
    <t>TC-34</t>
  </si>
  <si>
    <t>ConversationsPage</t>
  </si>
  <si>
    <t>Tạo hội thoại 1:1</t>
  </si>
  <si>
    <t>Tổ chức có ít nhất 2 thành viên</t>
  </si>
  <si>
    <t>1. Mở tab Nhắn tin
2. Tạo "Cuộc trò chuyện mới", chọn 1 đồng nghiệp
3. Bấm "Tạo"</t>
  </si>
  <si>
    <t>Đồng nghiệp: Trần Thị Bình</t>
  </si>
  <si>
    <t>Mở khung chat với đồng nghiệp đã chọn</t>
  </si>
  <si>
    <t>TC-35</t>
  </si>
  <si>
    <t>Không tạo trùng hội thoại 1:1</t>
  </si>
  <si>
    <t>Đã có hội thoại 1:1 với đồng nghiệp</t>
  </si>
  <si>
    <t>1. Tạo lại hội thoại 1:1 với cùng đồng nghiệp</t>
  </si>
  <si>
    <t>Mở lại hội thoại cũ, danh sách không có hội thoại trùng</t>
  </si>
  <si>
    <t>TC-36</t>
  </si>
  <si>
    <t>Tạo nhóm thiếu tên</t>
  </si>
  <si>
    <t>Đang tạo cuộc trò chuyện mới</t>
  </si>
  <si>
    <t>1. Chọn từ 2 đồng nghiệp trở lên
2. Để trống tên nhóm
3. Bấm "Tạo"</t>
  </si>
  <si>
    <t>2 đồng nghiệp</t>
  </si>
  <si>
    <t>Hiện "Nhóm từ 2 người trở lên bắt buộc phải có tên"</t>
  </si>
  <si>
    <t>TC-37</t>
  </si>
  <si>
    <t>ChatPage</t>
  </si>
  <si>
    <t>Gửi và nhận tin nhắn tức thời</t>
  </si>
  <si>
    <t>Hai tài khoản đăng nhập trên hai thiết bị</t>
  </si>
  <si>
    <t>1. Tài khoản A gửi tin trong hội thoại
2. Quan sát trên thiết bị của tài khoản B</t>
  </si>
  <si>
    <t>Tin nhắn ngắn</t>
  </si>
  <si>
    <t>B nhận tin ngay (WebSocket); danh sách hội thoại của B tăng số tin chưa đọc</t>
  </si>
  <si>
    <t>TC-38</t>
  </si>
  <si>
    <t>Hiển thị tên người gửi</t>
  </si>
  <si>
    <t>Hội thoại nhóm có nhiều thành viên</t>
  </si>
  <si>
    <t>1. Mở hội thoại nhóm
2. Quan sát tên người gửi</t>
  </si>
  <si>
    <t>Hiện họ tên theo danh bạ tổ chức, không hiện mã UUID; không tra được thì hiện "Thành viên"</t>
  </si>
  <si>
    <t>TC-39</t>
  </si>
  <si>
    <t>Nhận diện ý định nghỉ trong tin của mình</t>
  </si>
  <si>
    <t>Đang ở một hội thoại</t>
  </si>
  <si>
    <t>1. Gửi tin "mai em xin nghỉ"
2. Bấm chip "Hẹn lịch nghỉ" dưới tin</t>
  </si>
  <si>
    <t>Tin nhắn có "mai"</t>
  </si>
  <si>
    <t>Hiện chip "Hẹn lịch nghỉ"; bảng chọn mở với ngày điền sẵn là ngày mai, lý do là nội dung tin nhắn</t>
  </si>
  <si>
    <t>TC-40</t>
  </si>
  <si>
    <t>Gửi yêu cầu nghỉ từ chat</t>
  </si>
  <si>
    <t>Đang mở bảng "Hẹn lịch nghỉ"</t>
  </si>
  <si>
    <t>1. Kiểm tra ngày và lý do
2. Bấm "Gửi yêu cầu nghỉ"</t>
  </si>
  <si>
    <t>Hiện "Đã gửi yêu cầu nghỉ", chip chuyển sang đã xác nhận; tab Nghỉ phép có yêu cầu mới "Chờ duyệt"</t>
  </si>
  <si>
    <t>TC-41</t>
  </si>
  <si>
    <t>Không hiện chip cho tin của người khác</t>
  </si>
  <si>
    <t>Hội thoại nhóm</t>
  </si>
  <si>
    <t>1. Đồng nghiệp gửi tin "thứ hai tuần sau mình nghỉ"</t>
  </si>
  <si>
    <t>Tin của người khác</t>
  </si>
  <si>
    <t>Không hiện chip "Hẹn lịch nghỉ" dưới tin của người khác</t>
  </si>
  <si>
    <t>TC-42</t>
  </si>
  <si>
    <t>Không khớp nhầm "mai" trong "email"</t>
  </si>
  <si>
    <t>1. Gửi tin "anh kiểm tra email giúp em"</t>
  </si>
  <si>
    <t>Tin có từ "email"</t>
  </si>
  <si>
    <t>Không hiện chip "Hẹn lịch nghỉ"</t>
  </si>
  <si>
    <t>TC-43</t>
  </si>
  <si>
    <t>Tên riêng "Mai" không bị hiểu là ngày mai</t>
  </si>
  <si>
    <t>1. Gửi tin "chị Mai gửi báo cáo rồi"</t>
  </si>
  <si>
    <t>Tin có tên riêng Mai</t>
  </si>
  <si>
    <t>Giới hạn đã biết: so khớp sau khi bỏ dấu nên "Mai" trùng "mai"</t>
  </si>
  <si>
    <t>TC-44</t>
  </si>
  <si>
    <t>HomeShell (tab Hồ sơ)</t>
  </si>
  <si>
    <t>Xem hồ sơ cá nhân chỉ đọc</t>
  </si>
  <si>
    <t>1. Mở tab Hồ sơ</t>
  </si>
  <si>
    <t>Hiện thông tin cá nhân, không có nút sửa hồ sơ</t>
  </si>
  <si>
    <t>Nhân viên không tự sửa được hồ sơ qua API hiện có</t>
  </si>
  <si>
    <t>TC-45</t>
  </si>
  <si>
    <t>Đăng xuất</t>
  </si>
  <si>
    <t>1. Mở tab Hồ sơ
2. Bấm "Đăng xuất"
3. Đóng và mở lại ứng dụng</t>
  </si>
  <si>
    <t>Về màn hình đăng nhập; mở lại ứng dụng không tự đăng nhập</t>
  </si>
  <si>
    <t>TC-46</t>
  </si>
  <si>
    <t>Khởi động ứng dụng</t>
  </si>
  <si>
    <t>Nhận địa chỉ Gateway mới không cần cài lại APK</t>
  </si>
  <si>
    <t>Địa chỉ tunnel vừa đổi và đã cập nhật cấu hình từ xa</t>
  </si>
  <si>
    <t>1. Mở ứng dụng sau khi địa chỉ Gateway đổi
2. Đăng nhập</t>
  </si>
  <si>
    <t>Ứng dụng tự lấy địa chỉ mới và đăng nhập được, không cần build lại APK</t>
  </si>
  <si>
    <t>Danh sách giá trị</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</si>
</sst>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0;\(#,##0\);&quot;-&quot;"/>
    <numFmt numFmtId="180" formatCode="0.0%;\(0.0%\);&quot;-&quot;"/>
  </numFmts>
  <fonts count="27">
    <font>
      <sz val="10"/>
      <name val="Arial"/>
      <charset val="134"/>
    </font>
    <font>
      <b/>
      <sz val="14"/>
      <color rgb="FF1F4E78"/>
      <name val="Arial"/>
      <charset val="134"/>
    </font>
    <font>
      <b/>
      <sz val="10"/>
      <color rgb="FFFFFFFF"/>
      <name val="Arial"/>
      <charset val="134"/>
    </font>
    <font>
      <sz val="10"/>
      <color rgb="FF000000"/>
      <name val="Arial"/>
      <charset val="134"/>
    </font>
    <font>
      <i/>
      <sz val="9"/>
      <color rgb="FF595959"/>
      <name val="Arial"/>
      <charset val="134"/>
    </font>
    <font>
      <b/>
      <sz val="10"/>
      <color rgb="FF000000"/>
      <name val="Arial"/>
      <charset val="134"/>
    </font>
    <font>
      <sz val="10"/>
      <color rgb="FF0000FF"/>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7">
    <fill>
      <patternFill patternType="none"/>
    </fill>
    <fill>
      <patternFill patternType="gray125"/>
    </fill>
    <fill>
      <patternFill patternType="solid">
        <fgColor rgb="FF1F4E78"/>
        <bgColor indexed="64"/>
      </patternFill>
    </fill>
    <fill>
      <patternFill patternType="solid">
        <fgColor rgb="FFFFFF99"/>
        <bgColor indexed="64"/>
      </patternFill>
    </fill>
    <fill>
      <patternFill patternType="solid">
        <fgColor rgb="FFEDEDED"/>
        <bgColor indexed="64"/>
      </patternFill>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7" borderId="7" applyNumberFormat="0" applyAlignment="0" applyProtection="0">
      <alignment vertical="center"/>
    </xf>
    <xf numFmtId="0" fontId="17" fillId="8" borderId="8" applyNumberFormat="0" applyAlignment="0" applyProtection="0">
      <alignment vertical="center"/>
    </xf>
    <xf numFmtId="0" fontId="18" fillId="8" borderId="7" applyNumberFormat="0" applyAlignment="0" applyProtection="0">
      <alignment vertical="center"/>
    </xf>
    <xf numFmtId="0" fontId="19" fillId="9"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27">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0" xfId="0" applyFont="1"/>
    <xf numFmtId="0" fontId="3" fillId="0" borderId="1" xfId="0" applyFont="1" applyBorder="1" applyAlignment="1">
      <alignment horizontal="center" vertical="top" wrapText="1"/>
    </xf>
    <xf numFmtId="0" fontId="5" fillId="0" borderId="1" xfId="0" applyFont="1" applyBorder="1" applyAlignment="1">
      <alignment vertical="top" wrapText="1"/>
    </xf>
    <xf numFmtId="0" fontId="6" fillId="3" borderId="1" xfId="0" applyFont="1" applyFill="1" applyBorder="1" applyAlignment="1">
      <alignment horizontal="center" vertical="top" wrapText="1"/>
    </xf>
    <xf numFmtId="178" fontId="6" fillId="3" borderId="1" xfId="0" applyNumberFormat="1" applyFont="1" applyFill="1" applyBorder="1" applyAlignment="1">
      <alignment horizontal="center" vertical="top" wrapText="1"/>
    </xf>
    <xf numFmtId="0" fontId="6" fillId="3" borderId="1" xfId="0" applyFont="1" applyFill="1" applyBorder="1" applyAlignment="1">
      <alignment vertical="top" wrapText="1"/>
    </xf>
    <xf numFmtId="0" fontId="5" fillId="0" borderId="0" xfId="0" applyFont="1" applyAlignment="1">
      <alignment vertical="top"/>
    </xf>
    <xf numFmtId="179" fontId="3" fillId="0" borderId="1" xfId="0" applyNumberFormat="1" applyFont="1" applyBorder="1" applyAlignment="1">
      <alignment horizontal="center" vertical="top" wrapText="1"/>
    </xf>
    <xf numFmtId="180" fontId="3" fillId="0" borderId="1" xfId="0" applyNumberFormat="1" applyFont="1" applyBorder="1" applyAlignment="1">
      <alignment horizontal="center" vertical="top" wrapText="1"/>
    </xf>
    <xf numFmtId="0" fontId="5" fillId="4" borderId="1" xfId="0" applyFont="1" applyFill="1" applyBorder="1" applyAlignment="1">
      <alignment vertical="top" wrapText="1"/>
    </xf>
    <xf numFmtId="179" fontId="5" fillId="4" borderId="1" xfId="0" applyNumberFormat="1" applyFont="1" applyFill="1" applyBorder="1" applyAlignment="1">
      <alignment horizontal="center" vertical="top" wrapText="1"/>
    </xf>
    <xf numFmtId="180" fontId="5" fillId="4" borderId="1" xfId="0" applyNumberFormat="1" applyFont="1" applyFill="1" applyBorder="1" applyAlignment="1">
      <alignment horizontal="center" vertical="top" wrapText="1"/>
    </xf>
    <xf numFmtId="0" fontId="4" fillId="0" borderId="1" xfId="0" applyFont="1" applyBorder="1" applyAlignment="1">
      <alignment vertical="top" wrapText="1"/>
    </xf>
    <xf numFmtId="0" fontId="0" fillId="0" borderId="2" xfId="0" applyBorder="1"/>
    <xf numFmtId="0" fontId="0" fillId="0" borderId="3" xfId="0" applyBorder="1"/>
    <xf numFmtId="180" fontId="6" fillId="3" borderId="1" xfId="0" applyNumberFormat="1" applyFont="1" applyFill="1" applyBorder="1" applyAlignment="1">
      <alignment horizontal="right" vertical="top"/>
    </xf>
    <xf numFmtId="180" fontId="3" fillId="0" borderId="1" xfId="0" applyNumberFormat="1" applyFont="1" applyBorder="1" applyAlignment="1">
      <alignment horizontal="right" vertical="top"/>
    </xf>
    <xf numFmtId="179" fontId="3" fillId="0" borderId="1" xfId="0" applyNumberFormat="1" applyFont="1" applyBorder="1" applyAlignment="1">
      <alignment horizontal="right" vertical="top"/>
    </xf>
    <xf numFmtId="0" fontId="5" fillId="0" borderId="1" xfId="0" applyFont="1" applyBorder="1" applyAlignment="1">
      <alignment horizontal="left" vertical="top"/>
    </xf>
    <xf numFmtId="0" fontId="5" fillId="5" borderId="1" xfId="0" applyFont="1" applyFill="1" applyBorder="1" applyAlignment="1">
      <alignment vertical="top" wrapText="1"/>
    </xf>
    <xf numFmtId="0" fontId="3" fillId="0" borderId="1" xfId="0" applyFont="1" applyBorder="1" applyAlignment="1">
      <alignment horizontal="left" vertical="top" wrapText="1"/>
    </xf>
    <xf numFmtId="178" fontId="3" fillId="0" borderId="1" xfId="0" applyNumberFormat="1" applyFont="1" applyBorder="1" applyAlignment="1">
      <alignment horizontal="left" vertical="top" wrapText="1"/>
    </xf>
    <xf numFmtId="0" fontId="2" fillId="2" borderId="1" xfId="0"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E7E6E6"/>
          <bgColor rgb="FFE7E6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Kết quả kiểm thử theo phân hệ</a:t>
            </a:r>
          </a:p>
        </c:rich>
      </c:tx>
      <c:layout/>
      <c:overlay val="0"/>
    </c:title>
    <c:autoTitleDeleted val="0"/>
    <c:plotArea>
      <c:layout/>
      <c:barChart>
        <c:barDir val="bar"/>
        <c:grouping val="stacked"/>
        <c:varyColors val="0"/>
        <c:ser>
          <c:idx val="0"/>
          <c:order val="0"/>
          <c:tx>
            <c:strRef>
              <c:f>'Tổng hợp'!$C$4</c:f>
              <c:strCache>
                <c:ptCount val="1"/>
                <c:pt idx="0">
                  <c:v>Đạt</c:v>
                </c:pt>
              </c:strCache>
            </c:strRef>
          </c:tx>
          <c:spPr>
            <a:solidFill>
              <a:srgbClr val="70AD47"/>
            </a:solidFill>
            <a:ln w="9525" cap="flat" cmpd="sng" algn="ctr">
              <a:solidFill>
                <a:srgbClr val="70AD47"/>
              </a:solidFill>
              <a:prstDash val="solid"/>
              <a:round/>
            </a:ln>
          </c:spPr>
          <c:invertIfNegative val="0"/>
          <c:dLbls>
            <c:delete val="1"/>
          </c:dLbls>
          <c:cat>
            <c:strRef>
              <c:f>'Tổng hợp'!$A$5:$A$15</c:f>
              <c:strCache>
                <c:ptCount val="11"/>
                <c:pt idx="0">
                  <c:v>Đăng nhập</c:v>
                </c:pt>
                <c:pt idx="1">
                  <c:v>Quên/Đặt lại mật khẩu</c:v>
                </c:pt>
                <c:pt idx="2">
                  <c:v>Chấm công</c:v>
                </c:pt>
                <c:pt idx="3">
                  <c:v>Nghỉ phép</c:v>
                </c:pt>
                <c:pt idx="4">
                  <c:v>Công việc</c:v>
                </c:pt>
                <c:pt idx="5">
                  <c:v>Tài liệu</c:v>
                </c:pt>
                <c:pt idx="6">
                  <c:v>Thông báo</c:v>
                </c:pt>
                <c:pt idx="7">
                  <c:v>Nhắn tin</c:v>
                </c:pt>
                <c:pt idx="8">
                  <c:v>Hẹn lịch nghỉ</c:v>
                </c:pt>
                <c:pt idx="9">
                  <c:v>Hồ sơ</c:v>
                </c:pt>
                <c:pt idx="10">
                  <c:v>Kết nối</c:v>
                </c:pt>
              </c:strCache>
            </c:strRef>
          </c:cat>
          <c:val>
            <c:numRef>
              <c:f>'Tổng hợp'!$C$5:$C$15</c:f>
              <c:numCache>
                <c:formatCode>#,##0;\(#,##0\);"-"</c:formatCode>
                <c:ptCount val="11"/>
                <c:pt idx="0">
                  <c:v>4</c:v>
                </c:pt>
                <c:pt idx="1">
                  <c:v>5</c:v>
                </c:pt>
                <c:pt idx="2">
                  <c:v>5</c:v>
                </c:pt>
                <c:pt idx="3">
                  <c:v>4</c:v>
                </c:pt>
                <c:pt idx="4">
                  <c:v>5</c:v>
                </c:pt>
                <c:pt idx="5">
                  <c:v>5</c:v>
                </c:pt>
                <c:pt idx="6">
                  <c:v>3</c:v>
                </c:pt>
                <c:pt idx="7">
                  <c:v>4</c:v>
                </c:pt>
                <c:pt idx="8">
                  <c:v>4</c:v>
                </c:pt>
                <c:pt idx="9">
                  <c:v>2</c:v>
                </c:pt>
                <c:pt idx="10">
                  <c:v>0</c:v>
                </c:pt>
              </c:numCache>
            </c:numRef>
          </c:val>
        </c:ser>
        <c:ser>
          <c:idx val="1"/>
          <c:order val="1"/>
          <c:tx>
            <c:strRef>
              <c:f>'Tổng hợp'!$D$4</c:f>
              <c:strCache>
                <c:ptCount val="1"/>
                <c:pt idx="0">
                  <c:v>Không đạt</c:v>
                </c:pt>
              </c:strCache>
            </c:strRef>
          </c:tx>
          <c:spPr>
            <a:solidFill>
              <a:srgbClr val="C00000"/>
            </a:solidFill>
            <a:ln w="9525" cap="flat" cmpd="sng" algn="ctr">
              <a:solidFill>
                <a:srgbClr val="C00000"/>
              </a:solidFill>
              <a:prstDash val="solid"/>
              <a:round/>
            </a:ln>
          </c:spPr>
          <c:invertIfNegative val="0"/>
          <c:dLbls>
            <c:delete val="1"/>
          </c:dLbls>
          <c:cat>
            <c:strRef>
              <c:f>'Tổng hợp'!$A$5:$A$15</c:f>
              <c:strCache>
                <c:ptCount val="11"/>
                <c:pt idx="0">
                  <c:v>Đăng nhập</c:v>
                </c:pt>
                <c:pt idx="1">
                  <c:v>Quên/Đặt lại mật khẩu</c:v>
                </c:pt>
                <c:pt idx="2">
                  <c:v>Chấm công</c:v>
                </c:pt>
                <c:pt idx="3">
                  <c:v>Nghỉ phép</c:v>
                </c:pt>
                <c:pt idx="4">
                  <c:v>Công việc</c:v>
                </c:pt>
                <c:pt idx="5">
                  <c:v>Tài liệu</c:v>
                </c:pt>
                <c:pt idx="6">
                  <c:v>Thông báo</c:v>
                </c:pt>
                <c:pt idx="7">
                  <c:v>Nhắn tin</c:v>
                </c:pt>
                <c:pt idx="8">
                  <c:v>Hẹn lịch nghỉ</c:v>
                </c:pt>
                <c:pt idx="9">
                  <c:v>Hồ sơ</c:v>
                </c:pt>
                <c:pt idx="10">
                  <c:v>Kết nối</c:v>
                </c:pt>
              </c:strCache>
            </c:strRef>
          </c:cat>
          <c:val>
            <c:numRef>
              <c:f>'Tổng hợp'!$D$5:$D$15</c:f>
              <c:numCache>
                <c:formatCode>#,##0;\(#,##0\);"-"</c:formatCode>
                <c:ptCount val="11"/>
                <c:pt idx="0">
                  <c:v>0</c:v>
                </c:pt>
                <c:pt idx="1">
                  <c:v>0</c:v>
                </c:pt>
                <c:pt idx="2">
                  <c:v>0</c:v>
                </c:pt>
                <c:pt idx="3">
                  <c:v>0</c:v>
                </c:pt>
                <c:pt idx="4">
                  <c:v>0</c:v>
                </c:pt>
                <c:pt idx="5">
                  <c:v>0</c:v>
                </c:pt>
                <c:pt idx="6">
                  <c:v>0</c:v>
                </c:pt>
                <c:pt idx="7">
                  <c:v>0</c:v>
                </c:pt>
                <c:pt idx="8">
                  <c:v>1</c:v>
                </c:pt>
                <c:pt idx="9">
                  <c:v>0</c:v>
                </c:pt>
                <c:pt idx="10">
                  <c:v>0</c:v>
                </c:pt>
              </c:numCache>
            </c:numRef>
          </c:val>
        </c:ser>
        <c:ser>
          <c:idx val="2"/>
          <c:order val="2"/>
          <c:tx>
            <c:strRef>
              <c:f>'Tổng hợp'!$E$4</c:f>
              <c:strCache>
                <c:ptCount val="1"/>
                <c:pt idx="0">
                  <c:v>Bị chặn</c:v>
                </c:pt>
              </c:strCache>
            </c:strRef>
          </c:tx>
          <c:spPr>
            <a:solidFill>
              <a:srgbClr val="FFC000"/>
            </a:solidFill>
            <a:ln w="9525" cap="flat" cmpd="sng" algn="ctr">
              <a:solidFill>
                <a:srgbClr val="FFC000"/>
              </a:solidFill>
              <a:prstDash val="solid"/>
              <a:round/>
            </a:ln>
          </c:spPr>
          <c:invertIfNegative val="0"/>
          <c:dLbls>
            <c:delete val="1"/>
          </c:dLbls>
          <c:cat>
            <c:strRef>
              <c:f>'Tổng hợp'!$A$5:$A$15</c:f>
              <c:strCache>
                <c:ptCount val="11"/>
                <c:pt idx="0">
                  <c:v>Đăng nhập</c:v>
                </c:pt>
                <c:pt idx="1">
                  <c:v>Quên/Đặt lại mật khẩu</c:v>
                </c:pt>
                <c:pt idx="2">
                  <c:v>Chấm công</c:v>
                </c:pt>
                <c:pt idx="3">
                  <c:v>Nghỉ phép</c:v>
                </c:pt>
                <c:pt idx="4">
                  <c:v>Công việc</c:v>
                </c:pt>
                <c:pt idx="5">
                  <c:v>Tài liệu</c:v>
                </c:pt>
                <c:pt idx="6">
                  <c:v>Thông báo</c:v>
                </c:pt>
                <c:pt idx="7">
                  <c:v>Nhắn tin</c:v>
                </c:pt>
                <c:pt idx="8">
                  <c:v>Hẹn lịch nghỉ</c:v>
                </c:pt>
                <c:pt idx="9">
                  <c:v>Hồ sơ</c:v>
                </c:pt>
                <c:pt idx="10">
                  <c:v>Kết nối</c:v>
                </c:pt>
              </c:strCache>
            </c:strRef>
          </c:cat>
          <c:val>
            <c:numRef>
              <c:f>'Tổng hợp'!$E$5:$E$15</c:f>
              <c:numCache>
                <c:formatCode>#,##0;\(#,##0\);"-"</c:formatCode>
                <c:ptCount val="11"/>
                <c:pt idx="0">
                  <c:v>0</c:v>
                </c:pt>
                <c:pt idx="1">
                  <c:v>0</c:v>
                </c:pt>
                <c:pt idx="2">
                  <c:v>0</c:v>
                </c:pt>
                <c:pt idx="3">
                  <c:v>1</c:v>
                </c:pt>
                <c:pt idx="4">
                  <c:v>0</c:v>
                </c:pt>
                <c:pt idx="5">
                  <c:v>0</c:v>
                </c:pt>
                <c:pt idx="6">
                  <c:v>0</c:v>
                </c:pt>
                <c:pt idx="7">
                  <c:v>0</c:v>
                </c:pt>
                <c:pt idx="8">
                  <c:v>0</c:v>
                </c:pt>
                <c:pt idx="9">
                  <c:v>0</c:v>
                </c:pt>
                <c:pt idx="10">
                  <c:v>0</c:v>
                </c:pt>
              </c:numCache>
            </c:numRef>
          </c:val>
        </c:ser>
        <c:ser>
          <c:idx val="3"/>
          <c:order val="3"/>
          <c:tx>
            <c:strRef>
              <c:f>'Tổng hợp'!$F$4</c:f>
              <c:strCache>
                <c:ptCount val="1"/>
                <c:pt idx="0">
                  <c:v>Chưa chạy</c:v>
                </c:pt>
              </c:strCache>
            </c:strRef>
          </c:tx>
          <c:spPr>
            <a:solidFill>
              <a:srgbClr val="A6A6A6"/>
            </a:solidFill>
            <a:ln w="9525" cap="flat" cmpd="sng" algn="ctr">
              <a:solidFill>
                <a:srgbClr val="A6A6A6"/>
              </a:solidFill>
              <a:prstDash val="solid"/>
              <a:round/>
            </a:ln>
          </c:spPr>
          <c:invertIfNegative val="0"/>
          <c:dLbls>
            <c:delete val="1"/>
          </c:dLbls>
          <c:cat>
            <c:strRef>
              <c:f>'Tổng hợp'!$A$5:$A$15</c:f>
              <c:strCache>
                <c:ptCount val="11"/>
                <c:pt idx="0">
                  <c:v>Đăng nhập</c:v>
                </c:pt>
                <c:pt idx="1">
                  <c:v>Quên/Đặt lại mật khẩu</c:v>
                </c:pt>
                <c:pt idx="2">
                  <c:v>Chấm công</c:v>
                </c:pt>
                <c:pt idx="3">
                  <c:v>Nghỉ phép</c:v>
                </c:pt>
                <c:pt idx="4">
                  <c:v>Công việc</c:v>
                </c:pt>
                <c:pt idx="5">
                  <c:v>Tài liệu</c:v>
                </c:pt>
                <c:pt idx="6">
                  <c:v>Thông báo</c:v>
                </c:pt>
                <c:pt idx="7">
                  <c:v>Nhắn tin</c:v>
                </c:pt>
                <c:pt idx="8">
                  <c:v>Hẹn lịch nghỉ</c:v>
                </c:pt>
                <c:pt idx="9">
                  <c:v>Hồ sơ</c:v>
                </c:pt>
                <c:pt idx="10">
                  <c:v>Kết nối</c:v>
                </c:pt>
              </c:strCache>
            </c:strRef>
          </c:cat>
          <c:val>
            <c:numRef>
              <c:f>'Tổng hợp'!$F$5:$F$15</c:f>
              <c:numCache>
                <c:formatCode>#,##0;\(#,##0\);"-"</c:formatCode>
                <c:ptCount val="11"/>
                <c:pt idx="0">
                  <c:v>0</c:v>
                </c:pt>
                <c:pt idx="1">
                  <c:v>0</c:v>
                </c:pt>
                <c:pt idx="2">
                  <c:v>1</c:v>
                </c:pt>
                <c:pt idx="3">
                  <c:v>0</c:v>
                </c:pt>
                <c:pt idx="4">
                  <c:v>0</c:v>
                </c:pt>
                <c:pt idx="5">
                  <c:v>0</c:v>
                </c:pt>
                <c:pt idx="6">
                  <c:v>0</c:v>
                </c:pt>
                <c:pt idx="7">
                  <c:v>1</c:v>
                </c:pt>
                <c:pt idx="8">
                  <c:v>0</c:v>
                </c:pt>
                <c:pt idx="9">
                  <c:v>0</c:v>
                </c:pt>
                <c:pt idx="10">
                  <c:v>1</c:v>
                </c:pt>
              </c:numCache>
            </c:numRef>
          </c:val>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t"/>
        <c:numFmt formatCode="0" sourceLinked="0"/>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majorUnit val="1"/>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ffb904b-4304-484c-af4f-a6d48c90693a}"/>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0</xdr:colOff>
      <xdr:row>2</xdr:row>
      <xdr:rowOff>0</xdr:rowOff>
    </xdr:from>
    <xdr:ext cx="5760000" cy="3234240"/>
    <xdr:graphicFrame>
      <xdr:nvGraphicFramePr>
        <xdr:cNvPr id="2" name="Chart 1"/>
        <xdr:cNvGraphicFramePr/>
      </xdr:nvGraphicFramePr>
      <xdr:xfrm>
        <a:off x="10492740" y="447040"/>
        <a:ext cx="5759450" cy="323405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28"/>
  <sheetViews>
    <sheetView showGridLines="0" tabSelected="1" workbookViewId="0">
      <selection activeCell="A1" sqref="A1"/>
    </sheetView>
  </sheetViews>
  <sheetFormatPr defaultColWidth="9" defaultRowHeight="13.2" outlineLevelCol="1"/>
  <cols>
    <col min="1" max="1" width="26" customWidth="1"/>
    <col min="2" max="2" width="95" customWidth="1"/>
  </cols>
  <sheetData>
    <row r="1" ht="22" customHeight="1" spans="1:2">
      <c r="A1" s="1" t="s">
        <v>0</v>
      </c>
    </row>
    <row r="3" spans="1:2">
      <c r="A3" s="23" t="s">
        <v>1</v>
      </c>
      <c r="B3" s="24" t="s">
        <v>2</v>
      </c>
    </row>
    <row r="4" spans="1:2">
      <c r="A4" s="23" t="s">
        <v>3</v>
      </c>
      <c r="B4" s="24" t="s">
        <v>4</v>
      </c>
    </row>
    <row r="5" spans="1:2">
      <c r="A5" s="23" t="s">
        <v>5</v>
      </c>
      <c r="B5" s="24" t="s">
        <v>6</v>
      </c>
    </row>
    <row r="6" spans="1:2">
      <c r="A6" s="23" t="s">
        <v>7</v>
      </c>
      <c r="B6" s="24" t="s">
        <v>8</v>
      </c>
    </row>
    <row r="7" spans="1:2">
      <c r="A7" s="23" t="s">
        <v>9</v>
      </c>
      <c r="B7" s="24" t="s">
        <v>10</v>
      </c>
    </row>
    <row r="8" spans="1:2">
      <c r="A8" s="23" t="s">
        <v>11</v>
      </c>
      <c r="B8" s="25">
        <v>46321</v>
      </c>
    </row>
    <row r="9" spans="1:2">
      <c r="A9" s="23" t="s">
        <v>12</v>
      </c>
      <c r="B9" s="24" t="s">
        <v>13</v>
      </c>
    </row>
    <row r="10" spans="1:2">
      <c r="A10" s="23" t="s">
        <v>14</v>
      </c>
      <c r="B10" s="24" t="s">
        <v>15</v>
      </c>
    </row>
    <row r="12" spans="1:2">
      <c r="A12" s="10" t="s">
        <v>16</v>
      </c>
    </row>
    <row r="13" spans="1:2">
      <c r="A13" s="7" t="s">
        <v>17</v>
      </c>
      <c r="B13" s="3" t="s">
        <v>18</v>
      </c>
    </row>
    <row r="14" spans="1:2">
      <c r="A14" s="5" t="s">
        <v>19</v>
      </c>
      <c r="B14" s="3" t="s">
        <v>20</v>
      </c>
    </row>
    <row r="15" spans="1:2">
      <c r="A15" s="26" t="s">
        <v>21</v>
      </c>
      <c r="B15" s="3" t="s">
        <v>22</v>
      </c>
    </row>
    <row r="17" spans="1:2">
      <c r="A17" s="10" t="s">
        <v>23</v>
      </c>
    </row>
    <row r="18" ht="26.4" spans="1:2">
      <c r="A18" s="6" t="s">
        <v>24</v>
      </c>
      <c r="B18" s="3" t="s">
        <v>25</v>
      </c>
    </row>
    <row r="19" spans="1:2">
      <c r="A19" s="6" t="s">
        <v>26</v>
      </c>
      <c r="B19" s="3" t="s">
        <v>27</v>
      </c>
    </row>
    <row r="20" spans="1:2">
      <c r="A20" s="6" t="s">
        <v>28</v>
      </c>
      <c r="B20" s="3" t="s">
        <v>29</v>
      </c>
    </row>
    <row r="22" spans="1:2">
      <c r="A22" s="10" t="s">
        <v>30</v>
      </c>
    </row>
    <row r="23" ht="39.6" spans="1:2">
      <c r="A23" s="5" t="s">
        <v>31</v>
      </c>
      <c r="B23" s="3" t="s">
        <v>32</v>
      </c>
    </row>
    <row r="24" ht="26.4" spans="1:2">
      <c r="A24" s="5" t="s">
        <v>33</v>
      </c>
      <c r="B24" s="3" t="s">
        <v>34</v>
      </c>
    </row>
    <row r="25" spans="1:2">
      <c r="A25" s="5" t="s">
        <v>35</v>
      </c>
      <c r="B25" s="3" t="s">
        <v>36</v>
      </c>
    </row>
    <row r="26" ht="26.4" spans="1:2">
      <c r="A26" s="5" t="s">
        <v>37</v>
      </c>
      <c r="B26" s="3" t="s">
        <v>38</v>
      </c>
    </row>
    <row r="27" ht="26.4" spans="1:2">
      <c r="A27" s="5" t="s">
        <v>39</v>
      </c>
      <c r="B27" s="3" t="s">
        <v>40</v>
      </c>
    </row>
    <row r="28" spans="1:2">
      <c r="A28" s="5" t="s">
        <v>41</v>
      </c>
      <c r="B28" s="3" t="s">
        <v>42</v>
      </c>
    </row>
  </sheetData>
  <pageMargins left="0.75" right="0.75" top="1" bottom="1" header="0.5" footer="0.5"/>
  <pageSetup paperSize="1" orientation="landscape"/>
  <headerFooter>
    <oddFooter>&amp;C&amp;"Arial"&amp;8 Tài liệu nội bộ — Công ty Demo SME — dùng cho mục đích minh hoạ đồ án&amp;R&amp;"Arial"&amp;8 Trang &amp;P/&amp;N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32"/>
  <sheetViews>
    <sheetView workbookViewId="0">
      <pane ySplit="4" topLeftCell="A5" activePane="bottomLeft" state="frozen"/>
      <selection/>
      <selection pane="bottomLeft" activeCell="A1" sqref="A1"/>
    </sheetView>
  </sheetViews>
  <sheetFormatPr defaultColWidth="9" defaultRowHeight="13.2"/>
  <cols>
    <col min="1" max="1" width="36" customWidth="1"/>
    <col min="2" max="2" width="20" customWidth="1"/>
    <col min="3" max="8" width="12" customWidth="1"/>
    <col min="9" max="9" width="16" customWidth="1"/>
  </cols>
  <sheetData>
    <row r="1" ht="22" customHeight="1" spans="1:9">
      <c r="A1" s="1" t="s">
        <v>43</v>
      </c>
    </row>
    <row r="2" spans="1:9">
      <c r="A2" s="4" t="s">
        <v>44</v>
      </c>
    </row>
    <row r="3" spans="1:9">
      <c r="A3" s="10" t="s">
        <v>45</v>
      </c>
    </row>
    <row r="4" ht="32" customHeight="1" spans="1:9">
      <c r="A4" s="2" t="s">
        <v>46</v>
      </c>
      <c r="B4" s="2" t="s">
        <v>47</v>
      </c>
      <c r="C4" s="2" t="s">
        <v>48</v>
      </c>
      <c r="D4" s="2" t="s">
        <v>49</v>
      </c>
      <c r="E4" s="2" t="s">
        <v>50</v>
      </c>
      <c r="F4" s="2" t="s">
        <v>51</v>
      </c>
      <c r="G4" s="2" t="s">
        <v>52</v>
      </c>
      <c r="H4" s="2" t="s">
        <v>53</v>
      </c>
      <c r="I4" s="2" t="s">
        <v>54</v>
      </c>
    </row>
    <row r="5" spans="1:9">
      <c r="A5" s="6" t="s">
        <v>55</v>
      </c>
      <c r="B5" s="11">
        <f>COUNTIFS('Kịch bản kiểm thử'!$B$5:$B$300,A5)</f>
        <v>4</v>
      </c>
      <c r="C5" s="11">
        <f>COUNTIFS('Kịch bản kiểm thử'!$B$5:$B$300,$A5,'Kịch bản kiểm thử'!$K$5:$K$300,C$4)</f>
        <v>4</v>
      </c>
      <c r="D5" s="11">
        <f>COUNTIFS('Kịch bản kiểm thử'!$B$5:$B$300,$A5,'Kịch bản kiểm thử'!$K$5:$K$300,D$4)</f>
        <v>0</v>
      </c>
      <c r="E5" s="11">
        <f>COUNTIFS('Kịch bản kiểm thử'!$B$5:$B$300,$A5,'Kịch bản kiểm thử'!$K$5:$K$300,E$4)</f>
        <v>0</v>
      </c>
      <c r="F5" s="11">
        <f>COUNTIFS('Kịch bản kiểm thử'!$B$5:$B$300,$A5,'Kịch bản kiểm thử'!$K$5:$K$300,F$4)</f>
        <v>0</v>
      </c>
      <c r="G5" s="11">
        <f t="shared" ref="G5:G15" si="0">C5+D5</f>
        <v>4</v>
      </c>
      <c r="H5" s="12">
        <f t="shared" ref="H5:H16" si="1">IFERROR(C5/G5,0)</f>
        <v>1</v>
      </c>
      <c r="I5" s="12">
        <f t="shared" ref="I5:I16" si="2">IFERROR(G5/B5,0)</f>
        <v>1</v>
      </c>
    </row>
    <row r="6" spans="1:9">
      <c r="A6" s="6" t="s">
        <v>56</v>
      </c>
      <c r="B6" s="11">
        <f>COUNTIFS('Kịch bản kiểm thử'!$B$5:$B$300,A6)</f>
        <v>5</v>
      </c>
      <c r="C6" s="11">
        <f>COUNTIFS('Kịch bản kiểm thử'!$B$5:$B$300,$A6,'Kịch bản kiểm thử'!$K$5:$K$300,C$4)</f>
        <v>5</v>
      </c>
      <c r="D6" s="11">
        <f>COUNTIFS('Kịch bản kiểm thử'!$B$5:$B$300,$A6,'Kịch bản kiểm thử'!$K$5:$K$300,D$4)</f>
        <v>0</v>
      </c>
      <c r="E6" s="11">
        <f>COUNTIFS('Kịch bản kiểm thử'!$B$5:$B$300,$A6,'Kịch bản kiểm thử'!$K$5:$K$300,E$4)</f>
        <v>0</v>
      </c>
      <c r="F6" s="11">
        <f>COUNTIFS('Kịch bản kiểm thử'!$B$5:$B$300,$A6,'Kịch bản kiểm thử'!$K$5:$K$300,F$4)</f>
        <v>0</v>
      </c>
      <c r="G6" s="11">
        <f t="shared" si="0"/>
        <v>5</v>
      </c>
      <c r="H6" s="12">
        <f t="shared" si="1"/>
        <v>1</v>
      </c>
      <c r="I6" s="12">
        <f t="shared" si="2"/>
        <v>1</v>
      </c>
    </row>
    <row r="7" spans="1:9">
      <c r="A7" s="6" t="s">
        <v>57</v>
      </c>
      <c r="B7" s="11">
        <f>COUNTIFS('Kịch bản kiểm thử'!$B$5:$B$300,A7)</f>
        <v>6</v>
      </c>
      <c r="C7" s="11">
        <f>COUNTIFS('Kịch bản kiểm thử'!$B$5:$B$300,$A7,'Kịch bản kiểm thử'!$K$5:$K$300,C$4)</f>
        <v>5</v>
      </c>
      <c r="D7" s="11">
        <f>COUNTIFS('Kịch bản kiểm thử'!$B$5:$B$300,$A7,'Kịch bản kiểm thử'!$K$5:$K$300,D$4)</f>
        <v>0</v>
      </c>
      <c r="E7" s="11">
        <f>COUNTIFS('Kịch bản kiểm thử'!$B$5:$B$300,$A7,'Kịch bản kiểm thử'!$K$5:$K$300,E$4)</f>
        <v>0</v>
      </c>
      <c r="F7" s="11">
        <f>COUNTIFS('Kịch bản kiểm thử'!$B$5:$B$300,$A7,'Kịch bản kiểm thử'!$K$5:$K$300,F$4)</f>
        <v>1</v>
      </c>
      <c r="G7" s="11">
        <f t="shared" si="0"/>
        <v>5</v>
      </c>
      <c r="H7" s="12">
        <f t="shared" si="1"/>
        <v>1</v>
      </c>
      <c r="I7" s="12">
        <f t="shared" si="2"/>
        <v>0.833333333333333</v>
      </c>
    </row>
    <row r="8" spans="1:9">
      <c r="A8" s="6" t="s">
        <v>58</v>
      </c>
      <c r="B8" s="11">
        <f>COUNTIFS('Kịch bản kiểm thử'!$B$5:$B$300,A8)</f>
        <v>5</v>
      </c>
      <c r="C8" s="11">
        <f>COUNTIFS('Kịch bản kiểm thử'!$B$5:$B$300,$A8,'Kịch bản kiểm thử'!$K$5:$K$300,C$4)</f>
        <v>4</v>
      </c>
      <c r="D8" s="11">
        <f>COUNTIFS('Kịch bản kiểm thử'!$B$5:$B$300,$A8,'Kịch bản kiểm thử'!$K$5:$K$300,D$4)</f>
        <v>0</v>
      </c>
      <c r="E8" s="11">
        <f>COUNTIFS('Kịch bản kiểm thử'!$B$5:$B$300,$A8,'Kịch bản kiểm thử'!$K$5:$K$300,E$4)</f>
        <v>1</v>
      </c>
      <c r="F8" s="11">
        <f>COUNTIFS('Kịch bản kiểm thử'!$B$5:$B$300,$A8,'Kịch bản kiểm thử'!$K$5:$K$300,F$4)</f>
        <v>0</v>
      </c>
      <c r="G8" s="11">
        <f t="shared" si="0"/>
        <v>4</v>
      </c>
      <c r="H8" s="12">
        <f t="shared" si="1"/>
        <v>1</v>
      </c>
      <c r="I8" s="12">
        <f t="shared" si="2"/>
        <v>0.8</v>
      </c>
    </row>
    <row r="9" spans="1:9">
      <c r="A9" s="6" t="s">
        <v>59</v>
      </c>
      <c r="B9" s="11">
        <f>COUNTIFS('Kịch bản kiểm thử'!$B$5:$B$300,A9)</f>
        <v>5</v>
      </c>
      <c r="C9" s="11">
        <f>COUNTIFS('Kịch bản kiểm thử'!$B$5:$B$300,$A9,'Kịch bản kiểm thử'!$K$5:$K$300,C$4)</f>
        <v>5</v>
      </c>
      <c r="D9" s="11">
        <f>COUNTIFS('Kịch bản kiểm thử'!$B$5:$B$300,$A9,'Kịch bản kiểm thử'!$K$5:$K$300,D$4)</f>
        <v>0</v>
      </c>
      <c r="E9" s="11">
        <f>COUNTIFS('Kịch bản kiểm thử'!$B$5:$B$300,$A9,'Kịch bản kiểm thử'!$K$5:$K$300,E$4)</f>
        <v>0</v>
      </c>
      <c r="F9" s="11">
        <f>COUNTIFS('Kịch bản kiểm thử'!$B$5:$B$300,$A9,'Kịch bản kiểm thử'!$K$5:$K$300,F$4)</f>
        <v>0</v>
      </c>
      <c r="G9" s="11">
        <f t="shared" si="0"/>
        <v>5</v>
      </c>
      <c r="H9" s="12">
        <f t="shared" si="1"/>
        <v>1</v>
      </c>
      <c r="I9" s="12">
        <f t="shared" si="2"/>
        <v>1</v>
      </c>
    </row>
    <row r="10" spans="1:9">
      <c r="A10" s="6" t="s">
        <v>60</v>
      </c>
      <c r="B10" s="11">
        <f>COUNTIFS('Kịch bản kiểm thử'!$B$5:$B$300,A10)</f>
        <v>5</v>
      </c>
      <c r="C10" s="11">
        <f>COUNTIFS('Kịch bản kiểm thử'!$B$5:$B$300,$A10,'Kịch bản kiểm thử'!$K$5:$K$300,C$4)</f>
        <v>5</v>
      </c>
      <c r="D10" s="11">
        <f>COUNTIFS('Kịch bản kiểm thử'!$B$5:$B$300,$A10,'Kịch bản kiểm thử'!$K$5:$K$300,D$4)</f>
        <v>0</v>
      </c>
      <c r="E10" s="11">
        <f>COUNTIFS('Kịch bản kiểm thử'!$B$5:$B$300,$A10,'Kịch bản kiểm thử'!$K$5:$K$300,E$4)</f>
        <v>0</v>
      </c>
      <c r="F10" s="11">
        <f>COUNTIFS('Kịch bản kiểm thử'!$B$5:$B$300,$A10,'Kịch bản kiểm thử'!$K$5:$K$300,F$4)</f>
        <v>0</v>
      </c>
      <c r="G10" s="11">
        <f t="shared" si="0"/>
        <v>5</v>
      </c>
      <c r="H10" s="12">
        <f t="shared" si="1"/>
        <v>1</v>
      </c>
      <c r="I10" s="12">
        <f t="shared" si="2"/>
        <v>1</v>
      </c>
    </row>
    <row r="11" spans="1:9">
      <c r="A11" s="6" t="s">
        <v>61</v>
      </c>
      <c r="B11" s="11">
        <f>COUNTIFS('Kịch bản kiểm thử'!$B$5:$B$300,A11)</f>
        <v>3</v>
      </c>
      <c r="C11" s="11">
        <f>COUNTIFS('Kịch bản kiểm thử'!$B$5:$B$300,$A11,'Kịch bản kiểm thử'!$K$5:$K$300,C$4)</f>
        <v>3</v>
      </c>
      <c r="D11" s="11">
        <f>COUNTIFS('Kịch bản kiểm thử'!$B$5:$B$300,$A11,'Kịch bản kiểm thử'!$K$5:$K$300,D$4)</f>
        <v>0</v>
      </c>
      <c r="E11" s="11">
        <f>COUNTIFS('Kịch bản kiểm thử'!$B$5:$B$300,$A11,'Kịch bản kiểm thử'!$K$5:$K$300,E$4)</f>
        <v>0</v>
      </c>
      <c r="F11" s="11">
        <f>COUNTIFS('Kịch bản kiểm thử'!$B$5:$B$300,$A11,'Kịch bản kiểm thử'!$K$5:$K$300,F$4)</f>
        <v>0</v>
      </c>
      <c r="G11" s="11">
        <f t="shared" si="0"/>
        <v>3</v>
      </c>
      <c r="H11" s="12">
        <f t="shared" si="1"/>
        <v>1</v>
      </c>
      <c r="I11" s="12">
        <f t="shared" si="2"/>
        <v>1</v>
      </c>
    </row>
    <row r="12" spans="1:9">
      <c r="A12" s="6" t="s">
        <v>62</v>
      </c>
      <c r="B12" s="11">
        <f>COUNTIFS('Kịch bản kiểm thử'!$B$5:$B$300,A12)</f>
        <v>5</v>
      </c>
      <c r="C12" s="11">
        <f>COUNTIFS('Kịch bản kiểm thử'!$B$5:$B$300,$A12,'Kịch bản kiểm thử'!$K$5:$K$300,C$4)</f>
        <v>4</v>
      </c>
      <c r="D12" s="11">
        <f>COUNTIFS('Kịch bản kiểm thử'!$B$5:$B$300,$A12,'Kịch bản kiểm thử'!$K$5:$K$300,D$4)</f>
        <v>0</v>
      </c>
      <c r="E12" s="11">
        <f>COUNTIFS('Kịch bản kiểm thử'!$B$5:$B$300,$A12,'Kịch bản kiểm thử'!$K$5:$K$300,E$4)</f>
        <v>0</v>
      </c>
      <c r="F12" s="11">
        <f>COUNTIFS('Kịch bản kiểm thử'!$B$5:$B$300,$A12,'Kịch bản kiểm thử'!$K$5:$K$300,F$4)</f>
        <v>1</v>
      </c>
      <c r="G12" s="11">
        <f t="shared" si="0"/>
        <v>4</v>
      </c>
      <c r="H12" s="12">
        <f t="shared" si="1"/>
        <v>1</v>
      </c>
      <c r="I12" s="12">
        <f t="shared" si="2"/>
        <v>0.8</v>
      </c>
    </row>
    <row r="13" spans="1:9">
      <c r="A13" s="6" t="s">
        <v>63</v>
      </c>
      <c r="B13" s="11">
        <f>COUNTIFS('Kịch bản kiểm thử'!$B$5:$B$300,A13)</f>
        <v>5</v>
      </c>
      <c r="C13" s="11">
        <f>COUNTIFS('Kịch bản kiểm thử'!$B$5:$B$300,$A13,'Kịch bản kiểm thử'!$K$5:$K$300,C$4)</f>
        <v>4</v>
      </c>
      <c r="D13" s="11">
        <f>COUNTIFS('Kịch bản kiểm thử'!$B$5:$B$300,$A13,'Kịch bản kiểm thử'!$K$5:$K$300,D$4)</f>
        <v>1</v>
      </c>
      <c r="E13" s="11">
        <f>COUNTIFS('Kịch bản kiểm thử'!$B$5:$B$300,$A13,'Kịch bản kiểm thử'!$K$5:$K$300,E$4)</f>
        <v>0</v>
      </c>
      <c r="F13" s="11">
        <f>COUNTIFS('Kịch bản kiểm thử'!$B$5:$B$300,$A13,'Kịch bản kiểm thử'!$K$5:$K$300,F$4)</f>
        <v>0</v>
      </c>
      <c r="G13" s="11">
        <f t="shared" si="0"/>
        <v>5</v>
      </c>
      <c r="H13" s="12">
        <f t="shared" si="1"/>
        <v>0.8</v>
      </c>
      <c r="I13" s="12">
        <f t="shared" si="2"/>
        <v>1</v>
      </c>
    </row>
    <row r="14" spans="1:9">
      <c r="A14" s="6" t="s">
        <v>64</v>
      </c>
      <c r="B14" s="11">
        <f>COUNTIFS('Kịch bản kiểm thử'!$B$5:$B$300,A14)</f>
        <v>2</v>
      </c>
      <c r="C14" s="11">
        <f>COUNTIFS('Kịch bản kiểm thử'!$B$5:$B$300,$A14,'Kịch bản kiểm thử'!$K$5:$K$300,C$4)</f>
        <v>2</v>
      </c>
      <c r="D14" s="11">
        <f>COUNTIFS('Kịch bản kiểm thử'!$B$5:$B$300,$A14,'Kịch bản kiểm thử'!$K$5:$K$300,D$4)</f>
        <v>0</v>
      </c>
      <c r="E14" s="11">
        <f>COUNTIFS('Kịch bản kiểm thử'!$B$5:$B$300,$A14,'Kịch bản kiểm thử'!$K$5:$K$300,E$4)</f>
        <v>0</v>
      </c>
      <c r="F14" s="11">
        <f>COUNTIFS('Kịch bản kiểm thử'!$B$5:$B$300,$A14,'Kịch bản kiểm thử'!$K$5:$K$300,F$4)</f>
        <v>0</v>
      </c>
      <c r="G14" s="11">
        <f t="shared" si="0"/>
        <v>2</v>
      </c>
      <c r="H14" s="12">
        <f t="shared" si="1"/>
        <v>1</v>
      </c>
      <c r="I14" s="12">
        <f t="shared" si="2"/>
        <v>1</v>
      </c>
    </row>
    <row r="15" spans="1:9">
      <c r="A15" s="6" t="s">
        <v>65</v>
      </c>
      <c r="B15" s="11">
        <f>COUNTIFS('Kịch bản kiểm thử'!$B$5:$B$300,A15)</f>
        <v>1</v>
      </c>
      <c r="C15" s="11">
        <f>COUNTIFS('Kịch bản kiểm thử'!$B$5:$B$300,$A15,'Kịch bản kiểm thử'!$K$5:$K$300,C$4)</f>
        <v>0</v>
      </c>
      <c r="D15" s="11">
        <f>COUNTIFS('Kịch bản kiểm thử'!$B$5:$B$300,$A15,'Kịch bản kiểm thử'!$K$5:$K$300,D$4)</f>
        <v>0</v>
      </c>
      <c r="E15" s="11">
        <f>COUNTIFS('Kịch bản kiểm thử'!$B$5:$B$300,$A15,'Kịch bản kiểm thử'!$K$5:$K$300,E$4)</f>
        <v>0</v>
      </c>
      <c r="F15" s="11">
        <f>COUNTIFS('Kịch bản kiểm thử'!$B$5:$B$300,$A15,'Kịch bản kiểm thử'!$K$5:$K$300,F$4)</f>
        <v>1</v>
      </c>
      <c r="G15" s="11">
        <f t="shared" si="0"/>
        <v>0</v>
      </c>
      <c r="H15" s="12">
        <f t="shared" si="1"/>
        <v>0</v>
      </c>
      <c r="I15" s="12">
        <f t="shared" si="2"/>
        <v>0</v>
      </c>
    </row>
    <row r="16" spans="1:9">
      <c r="A16" s="13" t="s">
        <v>66</v>
      </c>
      <c r="B16" s="14">
        <f t="shared" ref="B16:G16" si="3">SUM(B5:B15)</f>
        <v>46</v>
      </c>
      <c r="C16" s="14">
        <f t="shared" si="3"/>
        <v>41</v>
      </c>
      <c r="D16" s="14">
        <f t="shared" si="3"/>
        <v>1</v>
      </c>
      <c r="E16" s="14">
        <f t="shared" si="3"/>
        <v>1</v>
      </c>
      <c r="F16" s="14">
        <f t="shared" si="3"/>
        <v>3</v>
      </c>
      <c r="G16" s="14">
        <f t="shared" si="3"/>
        <v>42</v>
      </c>
      <c r="H16" s="15">
        <f t="shared" si="1"/>
        <v>0.976190476190476</v>
      </c>
      <c r="I16" s="15">
        <f t="shared" si="2"/>
        <v>0.91304347826087</v>
      </c>
    </row>
    <row r="17" spans="1:9">
      <c r="A17" s="16" t="s">
        <v>67</v>
      </c>
      <c r="B17" s="16" t="str">
        <f>IF(B16=COUNTA('Kịch bản kiểm thử'!$A$5:$A$300),"Khớp số kịch bản","Lệch — kiểm tra cột Phân hệ")</f>
        <v>Khớp số kịch bản</v>
      </c>
      <c r="C17" s="17"/>
      <c r="D17" s="17"/>
      <c r="E17" s="17"/>
      <c r="F17" s="18"/>
    </row>
    <row r="19" spans="1:9">
      <c r="A19" s="10" t="s">
        <v>68</v>
      </c>
    </row>
    <row r="20" ht="32" customHeight="1" spans="1:9">
      <c r="A20" s="2" t="s">
        <v>69</v>
      </c>
      <c r="B20" s="2" t="s">
        <v>47</v>
      </c>
      <c r="C20" s="2" t="s">
        <v>48</v>
      </c>
      <c r="D20" s="2" t="s">
        <v>49</v>
      </c>
      <c r="E20" s="2" t="s">
        <v>50</v>
      </c>
      <c r="F20" s="2" t="s">
        <v>51</v>
      </c>
      <c r="G20" s="2" t="s">
        <v>52</v>
      </c>
      <c r="H20" s="2" t="s">
        <v>53</v>
      </c>
      <c r="I20" s="2" t="s">
        <v>54</v>
      </c>
    </row>
    <row r="21" spans="1:9">
      <c r="A21" s="6" t="s">
        <v>70</v>
      </c>
      <c r="B21" s="11">
        <f>COUNTIFS('Kịch bản kiểm thử'!$J$5:$J$300,A21)</f>
        <v>18</v>
      </c>
      <c r="C21" s="11">
        <f>COUNTIFS('Kịch bản kiểm thử'!$J$5:$J$300,$A21,'Kịch bản kiểm thử'!$K$5:$K$300,"Đạt")</f>
        <v>18</v>
      </c>
      <c r="D21" s="11">
        <f>COUNTIFS('Kịch bản kiểm thử'!$J$5:$J$300,$A21,'Kịch bản kiểm thử'!$K$5:$K$300,"Không đạt")</f>
        <v>0</v>
      </c>
      <c r="E21" s="11">
        <f>COUNTIFS('Kịch bản kiểm thử'!$J$5:$J$300,$A21,'Kịch bản kiểm thử'!$K$5:$K$300,"Bị chặn")</f>
        <v>0</v>
      </c>
      <c r="F21" s="11">
        <f>COUNTIFS('Kịch bản kiểm thử'!$J$5:$J$300,$A21,'Kịch bản kiểm thử'!$K$5:$K$300,"Chưa chạy")</f>
        <v>0</v>
      </c>
      <c r="G21" s="11">
        <f>C21+D21</f>
        <v>18</v>
      </c>
      <c r="H21" s="12">
        <f>IFERROR(C21/G21,0)</f>
        <v>1</v>
      </c>
      <c r="I21" s="12">
        <f>IFERROR(G21/B21,0)</f>
        <v>1</v>
      </c>
    </row>
    <row r="22" spans="1:9">
      <c r="A22" s="6" t="s">
        <v>71</v>
      </c>
      <c r="B22" s="11">
        <f>COUNTIFS('Kịch bản kiểm thử'!$J$5:$J$300,A22)</f>
        <v>19</v>
      </c>
      <c r="C22" s="11">
        <f>COUNTIFS('Kịch bản kiểm thử'!$J$5:$J$300,$A22,'Kịch bản kiểm thử'!$K$5:$K$300,"Đạt")</f>
        <v>16</v>
      </c>
      <c r="D22" s="11">
        <f>COUNTIFS('Kịch bản kiểm thử'!$J$5:$J$300,$A22,'Kịch bản kiểm thử'!$K$5:$K$300,"Không đạt")</f>
        <v>0</v>
      </c>
      <c r="E22" s="11">
        <f>COUNTIFS('Kịch bản kiểm thử'!$J$5:$J$300,$A22,'Kịch bản kiểm thử'!$K$5:$K$300,"Bị chặn")</f>
        <v>1</v>
      </c>
      <c r="F22" s="11">
        <f>COUNTIFS('Kịch bản kiểm thử'!$J$5:$J$300,$A22,'Kịch bản kiểm thử'!$K$5:$K$300,"Chưa chạy")</f>
        <v>2</v>
      </c>
      <c r="G22" s="11">
        <f>C22+D22</f>
        <v>16</v>
      </c>
      <c r="H22" s="12">
        <f>IFERROR(C22/G22,0)</f>
        <v>1</v>
      </c>
      <c r="I22" s="12">
        <f>IFERROR(G22/B22,0)</f>
        <v>0.842105263157895</v>
      </c>
    </row>
    <row r="23" spans="1:9">
      <c r="A23" s="6" t="s">
        <v>72</v>
      </c>
      <c r="B23" s="11">
        <f>COUNTIFS('Kịch bản kiểm thử'!$J$5:$J$300,A23)</f>
        <v>9</v>
      </c>
      <c r="C23" s="11">
        <f>COUNTIFS('Kịch bản kiểm thử'!$J$5:$J$300,$A23,'Kịch bản kiểm thử'!$K$5:$K$300,"Đạt")</f>
        <v>7</v>
      </c>
      <c r="D23" s="11">
        <f>COUNTIFS('Kịch bản kiểm thử'!$J$5:$J$300,$A23,'Kịch bản kiểm thử'!$K$5:$K$300,"Không đạt")</f>
        <v>1</v>
      </c>
      <c r="E23" s="11">
        <f>COUNTIFS('Kịch bản kiểm thử'!$J$5:$J$300,$A23,'Kịch bản kiểm thử'!$K$5:$K$300,"Bị chặn")</f>
        <v>0</v>
      </c>
      <c r="F23" s="11">
        <f>COUNTIFS('Kịch bản kiểm thử'!$J$5:$J$300,$A23,'Kịch bản kiểm thử'!$K$5:$K$300,"Chưa chạy")</f>
        <v>1</v>
      </c>
      <c r="G23" s="11">
        <f>C23+D23</f>
        <v>8</v>
      </c>
      <c r="H23" s="12">
        <f>IFERROR(C23/G23,0)</f>
        <v>0.875</v>
      </c>
      <c r="I23" s="12">
        <f>IFERROR(G23/B23,0)</f>
        <v>0.888888888888889</v>
      </c>
    </row>
    <row r="25" spans="1:9">
      <c r="A25" s="10" t="s">
        <v>73</v>
      </c>
    </row>
    <row r="26" ht="32" customHeight="1" spans="1:9">
      <c r="A26" s="2" t="s">
        <v>74</v>
      </c>
      <c r="B26" s="2" t="s">
        <v>75</v>
      </c>
      <c r="C26" s="2" t="s">
        <v>76</v>
      </c>
      <c r="D26" s="17"/>
      <c r="E26" s="17"/>
      <c r="F26" s="17"/>
      <c r="G26" s="17"/>
      <c r="H26" s="17"/>
      <c r="I26" s="18"/>
    </row>
    <row r="27" spans="1:9">
      <c r="A27" s="6" t="s">
        <v>77</v>
      </c>
      <c r="B27" s="19">
        <v>0.95</v>
      </c>
      <c r="C27" s="16" t="s">
        <v>78</v>
      </c>
      <c r="D27" s="17"/>
      <c r="E27" s="17"/>
      <c r="F27" s="17"/>
      <c r="G27" s="17"/>
      <c r="H27" s="17"/>
      <c r="I27" s="18"/>
    </row>
    <row r="28" spans="1:9">
      <c r="A28" s="6" t="s">
        <v>79</v>
      </c>
      <c r="B28" s="20">
        <f>H16</f>
        <v>0.976190476190476</v>
      </c>
      <c r="C28" s="16" t="s">
        <v>80</v>
      </c>
      <c r="D28" s="17"/>
      <c r="E28" s="17"/>
      <c r="F28" s="17"/>
      <c r="G28" s="17"/>
      <c r="H28" s="17"/>
      <c r="I28" s="18"/>
    </row>
    <row r="29" spans="1:9">
      <c r="A29" s="6" t="s">
        <v>54</v>
      </c>
      <c r="B29" s="20">
        <f>I16</f>
        <v>0.91304347826087</v>
      </c>
      <c r="C29" s="16" t="s">
        <v>81</v>
      </c>
      <c r="D29" s="17"/>
      <c r="E29" s="17"/>
      <c r="F29" s="17"/>
      <c r="G29" s="17"/>
      <c r="H29" s="17"/>
      <c r="I29" s="18"/>
    </row>
    <row r="30" spans="1:9">
      <c r="A30" s="6" t="s">
        <v>82</v>
      </c>
      <c r="B30" s="21">
        <f>D21</f>
        <v>0</v>
      </c>
      <c r="C30" s="16" t="s">
        <v>83</v>
      </c>
      <c r="D30" s="17"/>
      <c r="E30" s="17"/>
      <c r="F30" s="17"/>
      <c r="G30" s="17"/>
      <c r="H30" s="17"/>
      <c r="I30" s="18"/>
    </row>
    <row r="31" spans="1:9">
      <c r="A31" s="6" t="s">
        <v>84</v>
      </c>
      <c r="B31" s="21">
        <f>E16+F16</f>
        <v>4</v>
      </c>
      <c r="C31" s="16" t="s">
        <v>85</v>
      </c>
      <c r="D31" s="17"/>
      <c r="E31" s="17"/>
      <c r="F31" s="17"/>
      <c r="G31" s="17"/>
      <c r="H31" s="17"/>
      <c r="I31" s="18"/>
    </row>
    <row r="32" spans="1:9">
      <c r="A32" s="6" t="s">
        <v>86</v>
      </c>
      <c r="B32" s="22" t="str">
        <f>IF(AND(B28&gt;=B27,B30=0,B31=0),"Đủ điều kiện phát hành",IF(AND(B28&gt;=B27,B30=0),"Đạt tiêu chí, còn kịch bản chưa chạy hoặc bị chặn","Chưa đủ điều kiện phát hành"))</f>
        <v>Đạt tiêu chí, còn kịch bản chưa chạy hoặc bị chặn</v>
      </c>
      <c r="C32" s="17"/>
      <c r="D32" s="17"/>
      <c r="E32" s="17"/>
      <c r="F32" s="17"/>
      <c r="G32" s="17"/>
      <c r="H32" s="17"/>
      <c r="I32" s="18"/>
    </row>
  </sheetData>
  <mergeCells count="8">
    <mergeCell ref="B17:F17"/>
    <mergeCell ref="C26:I26"/>
    <mergeCell ref="C27:I27"/>
    <mergeCell ref="C28:I28"/>
    <mergeCell ref="C29:I29"/>
    <mergeCell ref="C30:I30"/>
    <mergeCell ref="C31:I31"/>
    <mergeCell ref="B32:I32"/>
  </mergeCells>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50"/>
  <sheetViews>
    <sheetView workbookViewId="0">
      <pane xSplit="4" ySplit="4" topLeftCell="E5" activePane="bottomRight" state="frozen"/>
      <selection/>
      <selection pane="topRight"/>
      <selection pane="bottomLeft"/>
      <selection pane="bottomRight" activeCell="A1" sqref="A1"/>
    </sheetView>
  </sheetViews>
  <sheetFormatPr defaultColWidth="9" defaultRowHeight="13.2"/>
  <cols>
    <col min="1" max="1" width="8" customWidth="1"/>
    <col min="2" max="2" width="16" customWidth="1"/>
    <col min="3" max="3" width="18" customWidth="1"/>
    <col min="4" max="4" width="30" customWidth="1"/>
    <col min="5" max="5" width="28" customWidth="1"/>
    <col min="6" max="6" width="38" customWidth="1"/>
    <col min="7" max="7" width="22" customWidth="1"/>
    <col min="8" max="8" width="40" customWidth="1"/>
    <col min="9" max="9" width="13" customWidth="1"/>
    <col min="10" max="10" width="11" customWidth="1"/>
    <col min="11" max="12" width="12" customWidth="1"/>
    <col min="13" max="13" width="15" customWidth="1"/>
    <col min="14" max="14" width="30" customWidth="1"/>
  </cols>
  <sheetData>
    <row r="1" ht="22" customHeight="1" spans="1:14">
      <c r="A1" s="1" t="s">
        <v>87</v>
      </c>
    </row>
    <row r="2" spans="1:14">
      <c r="A2" s="4" t="s">
        <v>88</v>
      </c>
    </row>
    <row r="4" ht="32" customHeight="1" spans="1:14">
      <c r="A4" s="2" t="s">
        <v>89</v>
      </c>
      <c r="B4" s="2" t="s">
        <v>46</v>
      </c>
      <c r="C4" s="2" t="s">
        <v>90</v>
      </c>
      <c r="D4" s="2" t="s">
        <v>91</v>
      </c>
      <c r="E4" s="2" t="s">
        <v>92</v>
      </c>
      <c r="F4" s="2" t="s">
        <v>93</v>
      </c>
      <c r="G4" s="2" t="s">
        <v>94</v>
      </c>
      <c r="H4" s="2" t="s">
        <v>95</v>
      </c>
      <c r="I4" s="2" t="s">
        <v>96</v>
      </c>
      <c r="J4" s="2" t="s">
        <v>69</v>
      </c>
      <c r="K4" s="2" t="s">
        <v>97</v>
      </c>
      <c r="L4" s="2" t="s">
        <v>98</v>
      </c>
      <c r="M4" s="2" t="s">
        <v>99</v>
      </c>
      <c r="N4" s="2" t="s">
        <v>76</v>
      </c>
    </row>
    <row r="5" ht="52.8" spans="1:14">
      <c r="A5" s="5" t="s">
        <v>100</v>
      </c>
      <c r="B5" s="3" t="s">
        <v>55</v>
      </c>
      <c r="C5" s="3" t="s">
        <v>101</v>
      </c>
      <c r="D5" s="6" t="s">
        <v>102</v>
      </c>
      <c r="E5" s="3" t="s">
        <v>103</v>
      </c>
      <c r="F5" s="3" t="s">
        <v>104</v>
      </c>
      <c r="G5" s="3" t="s">
        <v>105</v>
      </c>
      <c r="H5" s="3" t="s">
        <v>106</v>
      </c>
      <c r="I5" s="3" t="s">
        <v>107</v>
      </c>
      <c r="J5" s="5" t="s">
        <v>70</v>
      </c>
      <c r="K5" s="7" t="s">
        <v>48</v>
      </c>
      <c r="L5" s="8">
        <v>46318</v>
      </c>
      <c r="M5" s="9" t="s">
        <v>108</v>
      </c>
      <c r="N5" s="9" t="s">
        <v>109</v>
      </c>
    </row>
    <row r="6" ht="26.4" spans="1:14">
      <c r="A6" s="5" t="s">
        <v>110</v>
      </c>
      <c r="B6" s="3" t="s">
        <v>55</v>
      </c>
      <c r="C6" s="3" t="s">
        <v>101</v>
      </c>
      <c r="D6" s="6" t="s">
        <v>111</v>
      </c>
      <c r="E6" s="3" t="s">
        <v>112</v>
      </c>
      <c r="F6" s="3" t="s">
        <v>113</v>
      </c>
      <c r="G6" s="3" t="s">
        <v>114</v>
      </c>
      <c r="H6" s="3" t="s">
        <v>115</v>
      </c>
      <c r="I6" s="3" t="s">
        <v>107</v>
      </c>
      <c r="J6" s="5" t="s">
        <v>70</v>
      </c>
      <c r="K6" s="7" t="s">
        <v>48</v>
      </c>
      <c r="L6" s="8">
        <v>46318</v>
      </c>
      <c r="M6" s="9" t="s">
        <v>108</v>
      </c>
      <c r="N6" s="9" t="s">
        <v>109</v>
      </c>
    </row>
    <row r="7" ht="39.6" spans="1:14">
      <c r="A7" s="5" t="s">
        <v>116</v>
      </c>
      <c r="B7" s="3" t="s">
        <v>55</v>
      </c>
      <c r="C7" s="3" t="s">
        <v>101</v>
      </c>
      <c r="D7" s="6" t="s">
        <v>117</v>
      </c>
      <c r="E7" s="3" t="s">
        <v>118</v>
      </c>
      <c r="F7" s="3" t="s">
        <v>119</v>
      </c>
      <c r="G7" s="3" t="s">
        <v>120</v>
      </c>
      <c r="H7" s="3" t="s">
        <v>121</v>
      </c>
      <c r="I7" s="3" t="s">
        <v>107</v>
      </c>
      <c r="J7" s="5" t="s">
        <v>71</v>
      </c>
      <c r="K7" s="7" t="s">
        <v>48</v>
      </c>
      <c r="L7" s="8">
        <v>46318</v>
      </c>
      <c r="M7" s="9" t="s">
        <v>108</v>
      </c>
      <c r="N7" s="9" t="s">
        <v>109</v>
      </c>
    </row>
    <row r="8" ht="26.4" spans="1:14">
      <c r="A8" s="5" t="s">
        <v>122</v>
      </c>
      <c r="B8" s="3" t="s">
        <v>55</v>
      </c>
      <c r="C8" s="3" t="s">
        <v>101</v>
      </c>
      <c r="D8" s="6" t="s">
        <v>123</v>
      </c>
      <c r="E8" s="3" t="s">
        <v>124</v>
      </c>
      <c r="F8" s="3" t="s">
        <v>125</v>
      </c>
      <c r="G8" s="3" t="s">
        <v>120</v>
      </c>
      <c r="H8" s="3" t="s">
        <v>126</v>
      </c>
      <c r="I8" s="3" t="s">
        <v>107</v>
      </c>
      <c r="J8" s="5" t="s">
        <v>72</v>
      </c>
      <c r="K8" s="7" t="s">
        <v>48</v>
      </c>
      <c r="L8" s="8">
        <v>46318</v>
      </c>
      <c r="M8" s="9" t="s">
        <v>108</v>
      </c>
      <c r="N8" s="9" t="s">
        <v>109</v>
      </c>
    </row>
    <row r="9" ht="26.4" spans="1:14">
      <c r="A9" s="5" t="s">
        <v>127</v>
      </c>
      <c r="B9" s="3" t="s">
        <v>56</v>
      </c>
      <c r="C9" s="3" t="s">
        <v>128</v>
      </c>
      <c r="D9" s="6" t="s">
        <v>129</v>
      </c>
      <c r="E9" s="3" t="s">
        <v>130</v>
      </c>
      <c r="F9" s="3" t="s">
        <v>131</v>
      </c>
      <c r="G9" s="3" t="s">
        <v>132</v>
      </c>
      <c r="H9" s="3" t="s">
        <v>133</v>
      </c>
      <c r="I9" s="3" t="s">
        <v>107</v>
      </c>
      <c r="J9" s="5" t="s">
        <v>71</v>
      </c>
      <c r="K9" s="7" t="s">
        <v>48</v>
      </c>
      <c r="L9" s="8">
        <v>46318</v>
      </c>
      <c r="M9" s="9" t="s">
        <v>108</v>
      </c>
      <c r="N9" s="9" t="s">
        <v>109</v>
      </c>
    </row>
    <row r="10" ht="52.8" spans="1:14">
      <c r="A10" s="5" t="s">
        <v>134</v>
      </c>
      <c r="B10" s="3" t="s">
        <v>56</v>
      </c>
      <c r="C10" s="3" t="s">
        <v>128</v>
      </c>
      <c r="D10" s="6" t="s">
        <v>135</v>
      </c>
      <c r="E10" s="3" t="s">
        <v>130</v>
      </c>
      <c r="F10" s="3" t="s">
        <v>136</v>
      </c>
      <c r="G10" s="3" t="s">
        <v>105</v>
      </c>
      <c r="H10" s="3" t="s">
        <v>137</v>
      </c>
      <c r="I10" s="3" t="s">
        <v>107</v>
      </c>
      <c r="J10" s="5" t="s">
        <v>71</v>
      </c>
      <c r="K10" s="7" t="s">
        <v>48</v>
      </c>
      <c r="L10" s="8">
        <v>46318</v>
      </c>
      <c r="M10" s="9" t="s">
        <v>108</v>
      </c>
      <c r="N10" s="9" t="s">
        <v>109</v>
      </c>
    </row>
    <row r="11" ht="39.6" spans="1:14">
      <c r="A11" s="5" t="s">
        <v>138</v>
      </c>
      <c r="B11" s="3" t="s">
        <v>56</v>
      </c>
      <c r="C11" s="3" t="s">
        <v>139</v>
      </c>
      <c r="D11" s="6" t="s">
        <v>140</v>
      </c>
      <c r="E11" s="3" t="s">
        <v>141</v>
      </c>
      <c r="F11" s="3" t="s">
        <v>142</v>
      </c>
      <c r="G11" s="3" t="s">
        <v>143</v>
      </c>
      <c r="H11" s="3" t="s">
        <v>144</v>
      </c>
      <c r="I11" s="3" t="s">
        <v>107</v>
      </c>
      <c r="J11" s="5" t="s">
        <v>71</v>
      </c>
      <c r="K11" s="7" t="s">
        <v>48</v>
      </c>
      <c r="L11" s="8">
        <v>46318</v>
      </c>
      <c r="M11" s="9" t="s">
        <v>108</v>
      </c>
      <c r="N11" s="9" t="s">
        <v>109</v>
      </c>
    </row>
    <row r="12" ht="26.4" spans="1:14">
      <c r="A12" s="5" t="s">
        <v>145</v>
      </c>
      <c r="B12" s="3" t="s">
        <v>56</v>
      </c>
      <c r="C12" s="3" t="s">
        <v>139</v>
      </c>
      <c r="D12" s="6" t="s">
        <v>146</v>
      </c>
      <c r="E12" s="3" t="s">
        <v>147</v>
      </c>
      <c r="F12" s="3" t="s">
        <v>148</v>
      </c>
      <c r="G12" s="3" t="s">
        <v>149</v>
      </c>
      <c r="H12" s="3" t="s">
        <v>150</v>
      </c>
      <c r="I12" s="3" t="s">
        <v>107</v>
      </c>
      <c r="J12" s="5" t="s">
        <v>71</v>
      </c>
      <c r="K12" s="7" t="s">
        <v>48</v>
      </c>
      <c r="L12" s="8">
        <v>46318</v>
      </c>
      <c r="M12" s="9" t="s">
        <v>108</v>
      </c>
      <c r="N12" s="9" t="s">
        <v>109</v>
      </c>
    </row>
    <row r="13" ht="66" spans="1:14">
      <c r="A13" s="5" t="s">
        <v>151</v>
      </c>
      <c r="B13" s="3" t="s">
        <v>56</v>
      </c>
      <c r="C13" s="3" t="s">
        <v>139</v>
      </c>
      <c r="D13" s="6" t="s">
        <v>152</v>
      </c>
      <c r="E13" s="3" t="s">
        <v>153</v>
      </c>
      <c r="F13" s="3" t="s">
        <v>154</v>
      </c>
      <c r="G13" s="3" t="s">
        <v>155</v>
      </c>
      <c r="H13" s="3" t="s">
        <v>156</v>
      </c>
      <c r="I13" s="3" t="s">
        <v>107</v>
      </c>
      <c r="J13" s="5" t="s">
        <v>70</v>
      </c>
      <c r="K13" s="7" t="s">
        <v>48</v>
      </c>
      <c r="L13" s="8">
        <v>46318</v>
      </c>
      <c r="M13" s="9" t="s">
        <v>108</v>
      </c>
      <c r="N13" s="9" t="s">
        <v>157</v>
      </c>
    </row>
    <row r="14" ht="52.8" spans="1:14">
      <c r="A14" s="5" t="s">
        <v>158</v>
      </c>
      <c r="B14" s="3" t="s">
        <v>57</v>
      </c>
      <c r="C14" s="3" t="s">
        <v>159</v>
      </c>
      <c r="D14" s="6" t="s">
        <v>160</v>
      </c>
      <c r="E14" s="3" t="s">
        <v>161</v>
      </c>
      <c r="F14" s="3" t="s">
        <v>162</v>
      </c>
      <c r="G14" s="3" t="s">
        <v>163</v>
      </c>
      <c r="H14" s="3" t="s">
        <v>164</v>
      </c>
      <c r="I14" s="3" t="s">
        <v>107</v>
      </c>
      <c r="J14" s="5" t="s">
        <v>70</v>
      </c>
      <c r="K14" s="7" t="s">
        <v>48</v>
      </c>
      <c r="L14" s="8">
        <v>46318</v>
      </c>
      <c r="M14" s="9" t="s">
        <v>108</v>
      </c>
      <c r="N14" s="9" t="s">
        <v>109</v>
      </c>
    </row>
    <row r="15" ht="26.4" spans="1:14">
      <c r="A15" s="5" t="s">
        <v>165</v>
      </c>
      <c r="B15" s="3" t="s">
        <v>57</v>
      </c>
      <c r="C15" s="3" t="s">
        <v>159</v>
      </c>
      <c r="D15" s="6" t="s">
        <v>166</v>
      </c>
      <c r="E15" s="3" t="s">
        <v>167</v>
      </c>
      <c r="F15" s="3" t="s">
        <v>168</v>
      </c>
      <c r="G15" s="3" t="s">
        <v>163</v>
      </c>
      <c r="H15" s="3" t="s">
        <v>169</v>
      </c>
      <c r="I15" s="3" t="s">
        <v>107</v>
      </c>
      <c r="J15" s="5" t="s">
        <v>70</v>
      </c>
      <c r="K15" s="7" t="s">
        <v>48</v>
      </c>
      <c r="L15" s="8">
        <v>46318</v>
      </c>
      <c r="M15" s="9" t="s">
        <v>108</v>
      </c>
      <c r="N15" s="9" t="s">
        <v>109</v>
      </c>
    </row>
    <row r="16" ht="26.4" spans="1:14">
      <c r="A16" s="5" t="s">
        <v>170</v>
      </c>
      <c r="B16" s="3" t="s">
        <v>57</v>
      </c>
      <c r="C16" s="3" t="s">
        <v>159</v>
      </c>
      <c r="D16" s="6" t="s">
        <v>171</v>
      </c>
      <c r="E16" s="3" t="s">
        <v>172</v>
      </c>
      <c r="F16" s="3" t="s">
        <v>173</v>
      </c>
      <c r="G16" s="3" t="s">
        <v>120</v>
      </c>
      <c r="H16" s="3" t="s">
        <v>174</v>
      </c>
      <c r="I16" s="3" t="s">
        <v>107</v>
      </c>
      <c r="J16" s="5" t="s">
        <v>70</v>
      </c>
      <c r="K16" s="7" t="s">
        <v>48</v>
      </c>
      <c r="L16" s="8">
        <v>46318</v>
      </c>
      <c r="M16" s="9" t="s">
        <v>108</v>
      </c>
      <c r="N16" s="9" t="s">
        <v>109</v>
      </c>
    </row>
    <row r="17" ht="39.6" spans="1:14">
      <c r="A17" s="5" t="s">
        <v>175</v>
      </c>
      <c r="B17" s="3" t="s">
        <v>57</v>
      </c>
      <c r="C17" s="3" t="s">
        <v>159</v>
      </c>
      <c r="D17" s="6" t="s">
        <v>176</v>
      </c>
      <c r="E17" s="3" t="s">
        <v>177</v>
      </c>
      <c r="F17" s="3" t="s">
        <v>178</v>
      </c>
      <c r="G17" s="3" t="s">
        <v>120</v>
      </c>
      <c r="H17" s="3" t="s">
        <v>179</v>
      </c>
      <c r="I17" s="3" t="s">
        <v>107</v>
      </c>
      <c r="J17" s="5" t="s">
        <v>71</v>
      </c>
      <c r="K17" s="7" t="s">
        <v>48</v>
      </c>
      <c r="L17" s="8">
        <v>46318</v>
      </c>
      <c r="M17" s="9" t="s">
        <v>108</v>
      </c>
      <c r="N17" s="9" t="s">
        <v>109</v>
      </c>
    </row>
    <row r="18" ht="39.6" spans="1:14">
      <c r="A18" s="5" t="s">
        <v>180</v>
      </c>
      <c r="B18" s="3" t="s">
        <v>57</v>
      </c>
      <c r="C18" s="3" t="s">
        <v>159</v>
      </c>
      <c r="D18" s="6" t="s">
        <v>181</v>
      </c>
      <c r="E18" s="3" t="s">
        <v>182</v>
      </c>
      <c r="F18" s="3" t="s">
        <v>183</v>
      </c>
      <c r="G18" s="3" t="s">
        <v>184</v>
      </c>
      <c r="H18" s="3" t="s">
        <v>185</v>
      </c>
      <c r="I18" s="3" t="s">
        <v>107</v>
      </c>
      <c r="J18" s="5" t="s">
        <v>71</v>
      </c>
      <c r="K18" s="7" t="s">
        <v>51</v>
      </c>
      <c r="L18" s="8"/>
      <c r="M18" s="9"/>
      <c r="N18" s="9" t="s">
        <v>186</v>
      </c>
    </row>
    <row r="19" ht="26.4" spans="1:14">
      <c r="A19" s="5" t="s">
        <v>187</v>
      </c>
      <c r="B19" s="3" t="s">
        <v>57</v>
      </c>
      <c r="C19" s="3" t="s">
        <v>159</v>
      </c>
      <c r="D19" s="6" t="s">
        <v>188</v>
      </c>
      <c r="E19" s="3" t="s">
        <v>189</v>
      </c>
      <c r="F19" s="3" t="s">
        <v>190</v>
      </c>
      <c r="G19" s="3" t="s">
        <v>120</v>
      </c>
      <c r="H19" s="3" t="s">
        <v>191</v>
      </c>
      <c r="I19" s="3" t="s">
        <v>107</v>
      </c>
      <c r="J19" s="5" t="s">
        <v>72</v>
      </c>
      <c r="K19" s="7" t="s">
        <v>48</v>
      </c>
      <c r="L19" s="8">
        <v>46318</v>
      </c>
      <c r="M19" s="9" t="s">
        <v>108</v>
      </c>
      <c r="N19" s="9" t="s">
        <v>109</v>
      </c>
    </row>
    <row r="20" ht="66" spans="1:14">
      <c r="A20" s="5" t="s">
        <v>192</v>
      </c>
      <c r="B20" s="3" t="s">
        <v>58</v>
      </c>
      <c r="C20" s="3" t="s">
        <v>193</v>
      </c>
      <c r="D20" s="6" t="s">
        <v>194</v>
      </c>
      <c r="E20" s="3" t="s">
        <v>189</v>
      </c>
      <c r="F20" s="3" t="s">
        <v>195</v>
      </c>
      <c r="G20" s="3" t="s">
        <v>196</v>
      </c>
      <c r="H20" s="3" t="s">
        <v>197</v>
      </c>
      <c r="I20" s="3" t="s">
        <v>107</v>
      </c>
      <c r="J20" s="5" t="s">
        <v>70</v>
      </c>
      <c r="K20" s="7" t="s">
        <v>48</v>
      </c>
      <c r="L20" s="8">
        <v>46318</v>
      </c>
      <c r="M20" s="9" t="s">
        <v>108</v>
      </c>
      <c r="N20" s="9" t="s">
        <v>109</v>
      </c>
    </row>
    <row r="21" ht="26.4" spans="1:14">
      <c r="A21" s="5" t="s">
        <v>198</v>
      </c>
      <c r="B21" s="3" t="s">
        <v>58</v>
      </c>
      <c r="C21" s="3" t="s">
        <v>193</v>
      </c>
      <c r="D21" s="6" t="s">
        <v>199</v>
      </c>
      <c r="E21" s="3" t="s">
        <v>200</v>
      </c>
      <c r="F21" s="3" t="s">
        <v>201</v>
      </c>
      <c r="G21" s="3" t="s">
        <v>202</v>
      </c>
      <c r="H21" s="3" t="s">
        <v>203</v>
      </c>
      <c r="I21" s="3" t="s">
        <v>107</v>
      </c>
      <c r="J21" s="5" t="s">
        <v>71</v>
      </c>
      <c r="K21" s="7" t="s">
        <v>48</v>
      </c>
      <c r="L21" s="8">
        <v>46319</v>
      </c>
      <c r="M21" s="9" t="s">
        <v>108</v>
      </c>
      <c r="N21" s="9" t="s">
        <v>109</v>
      </c>
    </row>
    <row r="22" ht="26.4" spans="1:14">
      <c r="A22" s="5" t="s">
        <v>204</v>
      </c>
      <c r="B22" s="3" t="s">
        <v>58</v>
      </c>
      <c r="C22" s="3" t="s">
        <v>193</v>
      </c>
      <c r="D22" s="6" t="s">
        <v>205</v>
      </c>
      <c r="E22" s="3" t="s">
        <v>200</v>
      </c>
      <c r="F22" s="3" t="s">
        <v>206</v>
      </c>
      <c r="G22" s="3" t="s">
        <v>207</v>
      </c>
      <c r="H22" s="3" t="s">
        <v>208</v>
      </c>
      <c r="I22" s="3" t="s">
        <v>107</v>
      </c>
      <c r="J22" s="5" t="s">
        <v>71</v>
      </c>
      <c r="K22" s="7" t="s">
        <v>48</v>
      </c>
      <c r="L22" s="8">
        <v>46319</v>
      </c>
      <c r="M22" s="9" t="s">
        <v>108</v>
      </c>
      <c r="N22" s="9" t="s">
        <v>109</v>
      </c>
    </row>
    <row r="23" ht="39.6" spans="1:14">
      <c r="A23" s="5" t="s">
        <v>209</v>
      </c>
      <c r="B23" s="3" t="s">
        <v>58</v>
      </c>
      <c r="C23" s="3" t="s">
        <v>193</v>
      </c>
      <c r="D23" s="6" t="s">
        <v>210</v>
      </c>
      <c r="E23" s="3" t="s">
        <v>211</v>
      </c>
      <c r="F23" s="3" t="s">
        <v>212</v>
      </c>
      <c r="G23" s="3" t="s">
        <v>120</v>
      </c>
      <c r="H23" s="3" t="s">
        <v>213</v>
      </c>
      <c r="I23" s="3" t="s">
        <v>214</v>
      </c>
      <c r="J23" s="5" t="s">
        <v>71</v>
      </c>
      <c r="K23" s="7" t="s">
        <v>50</v>
      </c>
      <c r="L23" s="8">
        <v>46319</v>
      </c>
      <c r="M23" s="9" t="s">
        <v>108</v>
      </c>
      <c r="N23" s="9" t="s">
        <v>215</v>
      </c>
    </row>
    <row r="24" ht="26.4" spans="1:14">
      <c r="A24" s="5" t="s">
        <v>216</v>
      </c>
      <c r="B24" s="3" t="s">
        <v>58</v>
      </c>
      <c r="C24" s="3" t="s">
        <v>193</v>
      </c>
      <c r="D24" s="6" t="s">
        <v>217</v>
      </c>
      <c r="E24" s="3" t="s">
        <v>189</v>
      </c>
      <c r="F24" s="3" t="s">
        <v>218</v>
      </c>
      <c r="G24" s="3" t="s">
        <v>120</v>
      </c>
      <c r="H24" s="3" t="s">
        <v>219</v>
      </c>
      <c r="I24" s="3" t="s">
        <v>107</v>
      </c>
      <c r="J24" s="5" t="s">
        <v>72</v>
      </c>
      <c r="K24" s="7" t="s">
        <v>48</v>
      </c>
      <c r="L24" s="8">
        <v>46319</v>
      </c>
      <c r="M24" s="9" t="s">
        <v>108</v>
      </c>
      <c r="N24" s="9" t="s">
        <v>220</v>
      </c>
    </row>
    <row r="25" ht="26.4" spans="1:14">
      <c r="A25" s="5" t="s">
        <v>221</v>
      </c>
      <c r="B25" s="3" t="s">
        <v>59</v>
      </c>
      <c r="C25" s="3" t="s">
        <v>222</v>
      </c>
      <c r="D25" s="6" t="s">
        <v>223</v>
      </c>
      <c r="E25" s="3" t="s">
        <v>224</v>
      </c>
      <c r="F25" s="3" t="s">
        <v>225</v>
      </c>
      <c r="G25" s="3" t="s">
        <v>120</v>
      </c>
      <c r="H25" s="3" t="s">
        <v>226</v>
      </c>
      <c r="I25" s="3" t="s">
        <v>107</v>
      </c>
      <c r="J25" s="5" t="s">
        <v>70</v>
      </c>
      <c r="K25" s="7" t="s">
        <v>48</v>
      </c>
      <c r="L25" s="8">
        <v>46319</v>
      </c>
      <c r="M25" s="9" t="s">
        <v>108</v>
      </c>
      <c r="N25" s="9" t="s">
        <v>109</v>
      </c>
    </row>
    <row r="26" ht="26.4" spans="1:14">
      <c r="A26" s="5" t="s">
        <v>227</v>
      </c>
      <c r="B26" s="3" t="s">
        <v>59</v>
      </c>
      <c r="C26" s="3" t="s">
        <v>222</v>
      </c>
      <c r="D26" s="6" t="s">
        <v>228</v>
      </c>
      <c r="E26" s="3" t="s">
        <v>229</v>
      </c>
      <c r="F26" s="3" t="s">
        <v>230</v>
      </c>
      <c r="G26" s="3" t="s">
        <v>120</v>
      </c>
      <c r="H26" s="3" t="s">
        <v>231</v>
      </c>
      <c r="I26" s="3" t="s">
        <v>107</v>
      </c>
      <c r="J26" s="5" t="s">
        <v>70</v>
      </c>
      <c r="K26" s="7" t="s">
        <v>48</v>
      </c>
      <c r="L26" s="8">
        <v>46319</v>
      </c>
      <c r="M26" s="9" t="s">
        <v>108</v>
      </c>
      <c r="N26" s="9" t="s">
        <v>109</v>
      </c>
    </row>
    <row r="27" ht="26.4" spans="1:14">
      <c r="A27" s="5" t="s">
        <v>232</v>
      </c>
      <c r="B27" s="3" t="s">
        <v>59</v>
      </c>
      <c r="C27" s="3" t="s">
        <v>222</v>
      </c>
      <c r="D27" s="6" t="s">
        <v>233</v>
      </c>
      <c r="E27" s="3" t="s">
        <v>234</v>
      </c>
      <c r="F27" s="3" t="s">
        <v>235</v>
      </c>
      <c r="G27" s="3" t="s">
        <v>120</v>
      </c>
      <c r="H27" s="3" t="s">
        <v>236</v>
      </c>
      <c r="I27" s="3" t="s">
        <v>107</v>
      </c>
      <c r="J27" s="5" t="s">
        <v>70</v>
      </c>
      <c r="K27" s="7" t="s">
        <v>48</v>
      </c>
      <c r="L27" s="8">
        <v>46319</v>
      </c>
      <c r="M27" s="9" t="s">
        <v>108</v>
      </c>
      <c r="N27" s="9" t="s">
        <v>109</v>
      </c>
    </row>
    <row r="28" ht="26.4" spans="1:14">
      <c r="A28" s="5" t="s">
        <v>237</v>
      </c>
      <c r="B28" s="3" t="s">
        <v>59</v>
      </c>
      <c r="C28" s="3" t="s">
        <v>222</v>
      </c>
      <c r="D28" s="6" t="s">
        <v>238</v>
      </c>
      <c r="E28" s="3" t="s">
        <v>239</v>
      </c>
      <c r="F28" s="3" t="s">
        <v>225</v>
      </c>
      <c r="G28" s="3" t="s">
        <v>120</v>
      </c>
      <c r="H28" s="3" t="s">
        <v>240</v>
      </c>
      <c r="I28" s="3" t="s">
        <v>107</v>
      </c>
      <c r="J28" s="5" t="s">
        <v>72</v>
      </c>
      <c r="K28" s="7" t="s">
        <v>48</v>
      </c>
      <c r="L28" s="8">
        <v>46319</v>
      </c>
      <c r="M28" s="9" t="s">
        <v>108</v>
      </c>
      <c r="N28" s="9" t="s">
        <v>109</v>
      </c>
    </row>
    <row r="29" ht="26.4" spans="1:14">
      <c r="A29" s="5" t="s">
        <v>241</v>
      </c>
      <c r="B29" s="3" t="s">
        <v>59</v>
      </c>
      <c r="C29" s="3" t="s">
        <v>222</v>
      </c>
      <c r="D29" s="6" t="s">
        <v>242</v>
      </c>
      <c r="E29" s="3" t="s">
        <v>189</v>
      </c>
      <c r="F29" s="3" t="s">
        <v>243</v>
      </c>
      <c r="G29" s="3" t="s">
        <v>120</v>
      </c>
      <c r="H29" s="3" t="s">
        <v>244</v>
      </c>
      <c r="I29" s="3" t="s">
        <v>107</v>
      </c>
      <c r="J29" s="5" t="s">
        <v>72</v>
      </c>
      <c r="K29" s="7" t="s">
        <v>48</v>
      </c>
      <c r="L29" s="8">
        <v>46319</v>
      </c>
      <c r="M29" s="9" t="s">
        <v>108</v>
      </c>
      <c r="N29" s="9" t="s">
        <v>220</v>
      </c>
    </row>
    <row r="30" ht="39.6" spans="1:14">
      <c r="A30" s="5" t="s">
        <v>245</v>
      </c>
      <c r="B30" s="3" t="s">
        <v>60</v>
      </c>
      <c r="C30" s="3" t="s">
        <v>246</v>
      </c>
      <c r="D30" s="6" t="s">
        <v>247</v>
      </c>
      <c r="E30" s="3" t="s">
        <v>248</v>
      </c>
      <c r="F30" s="3" t="s">
        <v>249</v>
      </c>
      <c r="G30" s="3" t="s">
        <v>120</v>
      </c>
      <c r="H30" s="3" t="s">
        <v>250</v>
      </c>
      <c r="I30" s="3" t="s">
        <v>107</v>
      </c>
      <c r="J30" s="5" t="s">
        <v>70</v>
      </c>
      <c r="K30" s="7" t="s">
        <v>48</v>
      </c>
      <c r="L30" s="8">
        <v>46319</v>
      </c>
      <c r="M30" s="9" t="s">
        <v>108</v>
      </c>
      <c r="N30" s="9" t="s">
        <v>109</v>
      </c>
    </row>
    <row r="31" ht="26.4" spans="1:14">
      <c r="A31" s="5" t="s">
        <v>251</v>
      </c>
      <c r="B31" s="3" t="s">
        <v>60</v>
      </c>
      <c r="C31" s="3" t="s">
        <v>246</v>
      </c>
      <c r="D31" s="6" t="s">
        <v>252</v>
      </c>
      <c r="E31" s="3" t="s">
        <v>253</v>
      </c>
      <c r="F31" s="3" t="s">
        <v>254</v>
      </c>
      <c r="G31" s="3" t="s">
        <v>255</v>
      </c>
      <c r="H31" s="3" t="s">
        <v>256</v>
      </c>
      <c r="I31" s="3" t="s">
        <v>107</v>
      </c>
      <c r="J31" s="5" t="s">
        <v>70</v>
      </c>
      <c r="K31" s="7" t="s">
        <v>48</v>
      </c>
      <c r="L31" s="8">
        <v>46319</v>
      </c>
      <c r="M31" s="9" t="s">
        <v>108</v>
      </c>
      <c r="N31" s="9" t="s">
        <v>109</v>
      </c>
    </row>
    <row r="32" ht="26.4" spans="1:14">
      <c r="A32" s="5" t="s">
        <v>257</v>
      </c>
      <c r="B32" s="3" t="s">
        <v>60</v>
      </c>
      <c r="C32" s="3" t="s">
        <v>246</v>
      </c>
      <c r="D32" s="6" t="s">
        <v>258</v>
      </c>
      <c r="E32" s="3" t="s">
        <v>259</v>
      </c>
      <c r="F32" s="3" t="s">
        <v>260</v>
      </c>
      <c r="G32" s="3" t="s">
        <v>261</v>
      </c>
      <c r="H32" s="3" t="s">
        <v>262</v>
      </c>
      <c r="I32" s="3" t="s">
        <v>107</v>
      </c>
      <c r="J32" s="5" t="s">
        <v>70</v>
      </c>
      <c r="K32" s="7" t="s">
        <v>48</v>
      </c>
      <c r="L32" s="8">
        <v>46319</v>
      </c>
      <c r="M32" s="9" t="s">
        <v>108</v>
      </c>
      <c r="N32" s="9" t="s">
        <v>109</v>
      </c>
    </row>
    <row r="33" ht="26.4" spans="1:14">
      <c r="A33" s="5" t="s">
        <v>263</v>
      </c>
      <c r="B33" s="3" t="s">
        <v>60</v>
      </c>
      <c r="C33" s="3" t="s">
        <v>246</v>
      </c>
      <c r="D33" s="6" t="s">
        <v>264</v>
      </c>
      <c r="E33" s="3" t="s">
        <v>259</v>
      </c>
      <c r="F33" s="3" t="s">
        <v>265</v>
      </c>
      <c r="G33" s="3" t="s">
        <v>120</v>
      </c>
      <c r="H33" s="3" t="s">
        <v>266</v>
      </c>
      <c r="I33" s="3" t="s">
        <v>107</v>
      </c>
      <c r="J33" s="5" t="s">
        <v>71</v>
      </c>
      <c r="K33" s="7" t="s">
        <v>48</v>
      </c>
      <c r="L33" s="8">
        <v>46319</v>
      </c>
      <c r="M33" s="9" t="s">
        <v>108</v>
      </c>
      <c r="N33" s="9" t="s">
        <v>267</v>
      </c>
    </row>
    <row r="34" spans="1:14">
      <c r="A34" s="5" t="s">
        <v>268</v>
      </c>
      <c r="B34" s="3" t="s">
        <v>60</v>
      </c>
      <c r="C34" s="3" t="s">
        <v>246</v>
      </c>
      <c r="D34" s="6" t="s">
        <v>269</v>
      </c>
      <c r="E34" s="3" t="s">
        <v>270</v>
      </c>
      <c r="F34" s="3" t="s">
        <v>271</v>
      </c>
      <c r="G34" s="3" t="s">
        <v>120</v>
      </c>
      <c r="H34" s="3" t="s">
        <v>272</v>
      </c>
      <c r="I34" s="3" t="s">
        <v>107</v>
      </c>
      <c r="J34" s="5" t="s">
        <v>72</v>
      </c>
      <c r="K34" s="7" t="s">
        <v>48</v>
      </c>
      <c r="L34" s="8">
        <v>46319</v>
      </c>
      <c r="M34" s="9" t="s">
        <v>108</v>
      </c>
      <c r="N34" s="9" t="s">
        <v>109</v>
      </c>
    </row>
    <row r="35" ht="26.4" spans="1:14">
      <c r="A35" s="5" t="s">
        <v>273</v>
      </c>
      <c r="B35" s="3" t="s">
        <v>61</v>
      </c>
      <c r="C35" s="3" t="s">
        <v>274</v>
      </c>
      <c r="D35" s="6" t="s">
        <v>275</v>
      </c>
      <c r="E35" s="3" t="s">
        <v>189</v>
      </c>
      <c r="F35" s="3" t="s">
        <v>276</v>
      </c>
      <c r="G35" s="3" t="s">
        <v>120</v>
      </c>
      <c r="H35" s="3" t="s">
        <v>277</v>
      </c>
      <c r="I35" s="3" t="s">
        <v>107</v>
      </c>
      <c r="J35" s="5" t="s">
        <v>71</v>
      </c>
      <c r="K35" s="7" t="s">
        <v>48</v>
      </c>
      <c r="L35" s="8">
        <v>46319</v>
      </c>
      <c r="M35" s="9" t="s">
        <v>108</v>
      </c>
      <c r="N35" s="9" t="s">
        <v>109</v>
      </c>
    </row>
    <row r="36" spans="1:14">
      <c r="A36" s="5" t="s">
        <v>278</v>
      </c>
      <c r="B36" s="3" t="s">
        <v>61</v>
      </c>
      <c r="C36" s="3" t="s">
        <v>274</v>
      </c>
      <c r="D36" s="6" t="s">
        <v>279</v>
      </c>
      <c r="E36" s="3" t="s">
        <v>280</v>
      </c>
      <c r="F36" s="3" t="s">
        <v>281</v>
      </c>
      <c r="G36" s="3" t="s">
        <v>120</v>
      </c>
      <c r="H36" s="3" t="s">
        <v>282</v>
      </c>
      <c r="I36" s="3" t="s">
        <v>107</v>
      </c>
      <c r="J36" s="5" t="s">
        <v>71</v>
      </c>
      <c r="K36" s="7" t="s">
        <v>48</v>
      </c>
      <c r="L36" s="8">
        <v>46321</v>
      </c>
      <c r="M36" s="9" t="s">
        <v>108</v>
      </c>
      <c r="N36" s="9" t="s">
        <v>109</v>
      </c>
    </row>
    <row r="37" spans="1:14">
      <c r="A37" s="5" t="s">
        <v>283</v>
      </c>
      <c r="B37" s="3" t="s">
        <v>61</v>
      </c>
      <c r="C37" s="3" t="s">
        <v>274</v>
      </c>
      <c r="D37" s="6" t="s">
        <v>284</v>
      </c>
      <c r="E37" s="3" t="s">
        <v>285</v>
      </c>
      <c r="F37" s="3" t="s">
        <v>286</v>
      </c>
      <c r="G37" s="3" t="s">
        <v>120</v>
      </c>
      <c r="H37" s="3" t="s">
        <v>287</v>
      </c>
      <c r="I37" s="3" t="s">
        <v>107</v>
      </c>
      <c r="J37" s="5" t="s">
        <v>71</v>
      </c>
      <c r="K37" s="7" t="s">
        <v>48</v>
      </c>
      <c r="L37" s="8">
        <v>46321</v>
      </c>
      <c r="M37" s="9" t="s">
        <v>108</v>
      </c>
      <c r="N37" s="9" t="s">
        <v>109</v>
      </c>
    </row>
    <row r="38" ht="52.8" spans="1:14">
      <c r="A38" s="5" t="s">
        <v>288</v>
      </c>
      <c r="B38" s="3" t="s">
        <v>62</v>
      </c>
      <c r="C38" s="3" t="s">
        <v>289</v>
      </c>
      <c r="D38" s="6" t="s">
        <v>290</v>
      </c>
      <c r="E38" s="3" t="s">
        <v>291</v>
      </c>
      <c r="F38" s="3" t="s">
        <v>292</v>
      </c>
      <c r="G38" s="3" t="s">
        <v>293</v>
      </c>
      <c r="H38" s="3" t="s">
        <v>294</v>
      </c>
      <c r="I38" s="3" t="s">
        <v>107</v>
      </c>
      <c r="J38" s="5" t="s">
        <v>70</v>
      </c>
      <c r="K38" s="7" t="s">
        <v>48</v>
      </c>
      <c r="L38" s="8">
        <v>46321</v>
      </c>
      <c r="M38" s="9" t="s">
        <v>108</v>
      </c>
      <c r="N38" s="9" t="s">
        <v>109</v>
      </c>
    </row>
    <row r="39" ht="26.4" spans="1:14">
      <c r="A39" s="5" t="s">
        <v>295</v>
      </c>
      <c r="B39" s="3" t="s">
        <v>62</v>
      </c>
      <c r="C39" s="3" t="s">
        <v>289</v>
      </c>
      <c r="D39" s="6" t="s">
        <v>296</v>
      </c>
      <c r="E39" s="3" t="s">
        <v>297</v>
      </c>
      <c r="F39" s="3" t="s">
        <v>298</v>
      </c>
      <c r="G39" s="3" t="s">
        <v>120</v>
      </c>
      <c r="H39" s="3" t="s">
        <v>299</v>
      </c>
      <c r="I39" s="3" t="s">
        <v>107</v>
      </c>
      <c r="J39" s="5" t="s">
        <v>71</v>
      </c>
      <c r="K39" s="7" t="s">
        <v>48</v>
      </c>
      <c r="L39" s="8">
        <v>46321</v>
      </c>
      <c r="M39" s="9" t="s">
        <v>108</v>
      </c>
      <c r="N39" s="9" t="s">
        <v>109</v>
      </c>
    </row>
    <row r="40" ht="39.6" spans="1:14">
      <c r="A40" s="5" t="s">
        <v>300</v>
      </c>
      <c r="B40" s="3" t="s">
        <v>62</v>
      </c>
      <c r="C40" s="3" t="s">
        <v>289</v>
      </c>
      <c r="D40" s="6" t="s">
        <v>301</v>
      </c>
      <c r="E40" s="3" t="s">
        <v>302</v>
      </c>
      <c r="F40" s="3" t="s">
        <v>303</v>
      </c>
      <c r="G40" s="3" t="s">
        <v>304</v>
      </c>
      <c r="H40" s="3" t="s">
        <v>305</v>
      </c>
      <c r="I40" s="3" t="s">
        <v>107</v>
      </c>
      <c r="J40" s="5" t="s">
        <v>71</v>
      </c>
      <c r="K40" s="7" t="s">
        <v>48</v>
      </c>
      <c r="L40" s="8">
        <v>46321</v>
      </c>
      <c r="M40" s="9" t="s">
        <v>108</v>
      </c>
      <c r="N40" s="9" t="s">
        <v>109</v>
      </c>
    </row>
    <row r="41" ht="26.4" spans="1:14">
      <c r="A41" s="5" t="s">
        <v>306</v>
      </c>
      <c r="B41" s="3" t="s">
        <v>62</v>
      </c>
      <c r="C41" s="3" t="s">
        <v>307</v>
      </c>
      <c r="D41" s="6" t="s">
        <v>308</v>
      </c>
      <c r="E41" s="3" t="s">
        <v>309</v>
      </c>
      <c r="F41" s="3" t="s">
        <v>310</v>
      </c>
      <c r="G41" s="3" t="s">
        <v>311</v>
      </c>
      <c r="H41" s="3" t="s">
        <v>312</v>
      </c>
      <c r="I41" s="3" t="s">
        <v>107</v>
      </c>
      <c r="J41" s="5" t="s">
        <v>70</v>
      </c>
      <c r="K41" s="7" t="s">
        <v>48</v>
      </c>
      <c r="L41" s="8">
        <v>46321</v>
      </c>
      <c r="M41" s="9" t="s">
        <v>108</v>
      </c>
      <c r="N41" s="9" t="s">
        <v>109</v>
      </c>
    </row>
    <row r="42" ht="26.4" spans="1:14">
      <c r="A42" s="5" t="s">
        <v>313</v>
      </c>
      <c r="B42" s="3" t="s">
        <v>62</v>
      </c>
      <c r="C42" s="3" t="s">
        <v>307</v>
      </c>
      <c r="D42" s="6" t="s">
        <v>314</v>
      </c>
      <c r="E42" s="3" t="s">
        <v>315</v>
      </c>
      <c r="F42" s="3" t="s">
        <v>316</v>
      </c>
      <c r="G42" s="3" t="s">
        <v>120</v>
      </c>
      <c r="H42" s="3" t="s">
        <v>317</v>
      </c>
      <c r="I42" s="3" t="s">
        <v>107</v>
      </c>
      <c r="J42" s="5" t="s">
        <v>72</v>
      </c>
      <c r="K42" s="7" t="s">
        <v>51</v>
      </c>
      <c r="L42" s="8"/>
      <c r="M42" s="9"/>
      <c r="N42" s="9" t="s">
        <v>109</v>
      </c>
    </row>
    <row r="43" ht="39.6" spans="1:14">
      <c r="A43" s="5" t="s">
        <v>318</v>
      </c>
      <c r="B43" s="3" t="s">
        <v>63</v>
      </c>
      <c r="C43" s="3" t="s">
        <v>307</v>
      </c>
      <c r="D43" s="6" t="s">
        <v>319</v>
      </c>
      <c r="E43" s="3" t="s">
        <v>320</v>
      </c>
      <c r="F43" s="3" t="s">
        <v>321</v>
      </c>
      <c r="G43" s="3" t="s">
        <v>322</v>
      </c>
      <c r="H43" s="3" t="s">
        <v>323</v>
      </c>
      <c r="I43" s="3" t="s">
        <v>107</v>
      </c>
      <c r="J43" s="5" t="s">
        <v>70</v>
      </c>
      <c r="K43" s="7" t="s">
        <v>48</v>
      </c>
      <c r="L43" s="8">
        <v>46321</v>
      </c>
      <c r="M43" s="9" t="s">
        <v>108</v>
      </c>
      <c r="N43" s="9" t="s">
        <v>109</v>
      </c>
    </row>
    <row r="44" ht="39.6" spans="1:14">
      <c r="A44" s="5" t="s">
        <v>324</v>
      </c>
      <c r="B44" s="3" t="s">
        <v>63</v>
      </c>
      <c r="C44" s="3" t="s">
        <v>307</v>
      </c>
      <c r="D44" s="6" t="s">
        <v>325</v>
      </c>
      <c r="E44" s="3" t="s">
        <v>326</v>
      </c>
      <c r="F44" s="3" t="s">
        <v>327</v>
      </c>
      <c r="G44" s="3" t="s">
        <v>120</v>
      </c>
      <c r="H44" s="3" t="s">
        <v>328</v>
      </c>
      <c r="I44" s="3" t="s">
        <v>107</v>
      </c>
      <c r="J44" s="5" t="s">
        <v>70</v>
      </c>
      <c r="K44" s="7" t="s">
        <v>48</v>
      </c>
      <c r="L44" s="8">
        <v>46321</v>
      </c>
      <c r="M44" s="9" t="s">
        <v>108</v>
      </c>
      <c r="N44" s="9" t="s">
        <v>109</v>
      </c>
    </row>
    <row r="45" ht="26.4" spans="1:14">
      <c r="A45" s="5" t="s">
        <v>329</v>
      </c>
      <c r="B45" s="3" t="s">
        <v>63</v>
      </c>
      <c r="C45" s="3" t="s">
        <v>307</v>
      </c>
      <c r="D45" s="6" t="s">
        <v>330</v>
      </c>
      <c r="E45" s="3" t="s">
        <v>331</v>
      </c>
      <c r="F45" s="3" t="s">
        <v>332</v>
      </c>
      <c r="G45" s="3" t="s">
        <v>333</v>
      </c>
      <c r="H45" s="3" t="s">
        <v>334</v>
      </c>
      <c r="I45" s="3" t="s">
        <v>107</v>
      </c>
      <c r="J45" s="5" t="s">
        <v>71</v>
      </c>
      <c r="K45" s="7" t="s">
        <v>48</v>
      </c>
      <c r="L45" s="8">
        <v>46321</v>
      </c>
      <c r="M45" s="9" t="s">
        <v>108</v>
      </c>
      <c r="N45" s="9" t="s">
        <v>109</v>
      </c>
    </row>
    <row r="46" ht="26.4" spans="1:14">
      <c r="A46" s="5" t="s">
        <v>335</v>
      </c>
      <c r="B46" s="3" t="s">
        <v>63</v>
      </c>
      <c r="C46" s="3" t="s">
        <v>307</v>
      </c>
      <c r="D46" s="6" t="s">
        <v>336</v>
      </c>
      <c r="E46" s="3" t="s">
        <v>320</v>
      </c>
      <c r="F46" s="3" t="s">
        <v>337</v>
      </c>
      <c r="G46" s="3" t="s">
        <v>338</v>
      </c>
      <c r="H46" s="3" t="s">
        <v>339</v>
      </c>
      <c r="I46" s="3" t="s">
        <v>107</v>
      </c>
      <c r="J46" s="5" t="s">
        <v>71</v>
      </c>
      <c r="K46" s="7" t="s">
        <v>48</v>
      </c>
      <c r="L46" s="8">
        <v>46321</v>
      </c>
      <c r="M46" s="9" t="s">
        <v>108</v>
      </c>
      <c r="N46" s="9" t="s">
        <v>109</v>
      </c>
    </row>
    <row r="47" ht="26.4" spans="1:14">
      <c r="A47" s="5" t="s">
        <v>340</v>
      </c>
      <c r="B47" s="3" t="s">
        <v>63</v>
      </c>
      <c r="C47" s="3" t="s">
        <v>307</v>
      </c>
      <c r="D47" s="6" t="s">
        <v>341</v>
      </c>
      <c r="E47" s="3" t="s">
        <v>320</v>
      </c>
      <c r="F47" s="3" t="s">
        <v>342</v>
      </c>
      <c r="G47" s="3" t="s">
        <v>343</v>
      </c>
      <c r="H47" s="3" t="s">
        <v>339</v>
      </c>
      <c r="I47" s="3" t="s">
        <v>107</v>
      </c>
      <c r="J47" s="5" t="s">
        <v>72</v>
      </c>
      <c r="K47" s="7" t="s">
        <v>49</v>
      </c>
      <c r="L47" s="8">
        <v>46321</v>
      </c>
      <c r="M47" s="9" t="s">
        <v>108</v>
      </c>
      <c r="N47" s="9" t="s">
        <v>344</v>
      </c>
    </row>
    <row r="48" ht="26.4" spans="1:14">
      <c r="A48" s="5" t="s">
        <v>345</v>
      </c>
      <c r="B48" s="3" t="s">
        <v>64</v>
      </c>
      <c r="C48" s="3" t="s">
        <v>346</v>
      </c>
      <c r="D48" s="6" t="s">
        <v>347</v>
      </c>
      <c r="E48" s="3" t="s">
        <v>189</v>
      </c>
      <c r="F48" s="3" t="s">
        <v>348</v>
      </c>
      <c r="G48" s="3" t="s">
        <v>120</v>
      </c>
      <c r="H48" s="3" t="s">
        <v>349</v>
      </c>
      <c r="I48" s="3" t="s">
        <v>107</v>
      </c>
      <c r="J48" s="5" t="s">
        <v>72</v>
      </c>
      <c r="K48" s="7" t="s">
        <v>48</v>
      </c>
      <c r="L48" s="8">
        <v>46321</v>
      </c>
      <c r="M48" s="9" t="s">
        <v>108</v>
      </c>
      <c r="N48" s="9" t="s">
        <v>350</v>
      </c>
    </row>
    <row r="49" ht="39.6" spans="1:14">
      <c r="A49" s="5" t="s">
        <v>351</v>
      </c>
      <c r="B49" s="3" t="s">
        <v>64</v>
      </c>
      <c r="C49" s="3" t="s">
        <v>346</v>
      </c>
      <c r="D49" s="6" t="s">
        <v>352</v>
      </c>
      <c r="E49" s="3" t="s">
        <v>189</v>
      </c>
      <c r="F49" s="3" t="s">
        <v>353</v>
      </c>
      <c r="G49" s="3" t="s">
        <v>120</v>
      </c>
      <c r="H49" s="3" t="s">
        <v>354</v>
      </c>
      <c r="I49" s="3" t="s">
        <v>107</v>
      </c>
      <c r="J49" s="5" t="s">
        <v>70</v>
      </c>
      <c r="K49" s="7" t="s">
        <v>48</v>
      </c>
      <c r="L49" s="8">
        <v>46321</v>
      </c>
      <c r="M49" s="9" t="s">
        <v>108</v>
      </c>
      <c r="N49" s="9" t="s">
        <v>109</v>
      </c>
    </row>
    <row r="50" ht="26.4" spans="1:14">
      <c r="A50" s="5" t="s">
        <v>355</v>
      </c>
      <c r="B50" s="3" t="s">
        <v>65</v>
      </c>
      <c r="C50" s="3" t="s">
        <v>356</v>
      </c>
      <c r="D50" s="6" t="s">
        <v>357</v>
      </c>
      <c r="E50" s="3" t="s">
        <v>358</v>
      </c>
      <c r="F50" s="3" t="s">
        <v>359</v>
      </c>
      <c r="G50" s="3" t="s">
        <v>120</v>
      </c>
      <c r="H50" s="3" t="s">
        <v>360</v>
      </c>
      <c r="I50" s="3" t="s">
        <v>107</v>
      </c>
      <c r="J50" s="5" t="s">
        <v>71</v>
      </c>
      <c r="K50" s="7" t="s">
        <v>51</v>
      </c>
      <c r="L50" s="8"/>
      <c r="M50" s="9"/>
      <c r="N50" s="9" t="s">
        <v>109</v>
      </c>
    </row>
  </sheetData>
  <autoFilter xmlns:etc="http://www.wps.cn/officeDocument/2017/etCustomData" ref="A4:N50" etc:filterBottomFollowUsedRange="0">
    <extLst/>
  </autoFilter>
  <conditionalFormatting sqref="K5:K300">
    <cfRule type="expression" dxfId="0" priority="1">
      <formula>$K5="Đạt"</formula>
    </cfRule>
    <cfRule type="expression" dxfId="1" priority="2">
      <formula>$K5="Không đạt"</formula>
    </cfRule>
    <cfRule type="expression" dxfId="2" priority="3">
      <formula>$K5="Bị chặn"</formula>
    </cfRule>
    <cfRule type="expression" dxfId="3" priority="4">
      <formula>$K5="Chưa chạy"</formula>
    </cfRule>
  </conditionalFormatting>
  <dataValidations count="2">
    <dataValidation type="list" allowBlank="1" showInputMessage="1" showErrorMessage="1" errorTitle="Dữ liệu không hợp lệ" error="Giá trị không nằm trong danh sách cho phép." promptTitle="Chọn giá trị" prompt="Chọn mức ưu tiên" sqref="J5:J300">
      <formula1>"Cao,Trung bình,Thấp"</formula1>
    </dataValidation>
    <dataValidation type="list" allowBlank="1" showInputMessage="1" showErrorMessage="1" errorTitle="Dữ liệu không hợp lệ" error="Giá trị không nằm trong danh sách cho phép." promptTitle="Chọn giá trị" prompt="Chọn trạng thái kiểm thử" sqref="K5:K300">
      <formula1>"Chưa chạy,Đạt,Không đạt,Bị chặn"</formula1>
    </dataValidation>
  </dataValidations>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8"/>
  <sheetViews>
    <sheetView workbookViewId="0">
      <pane ySplit="4" topLeftCell="A5" activePane="bottomLeft" state="frozen"/>
      <selection/>
      <selection pane="bottomLeft" activeCell="A1" sqref="A1"/>
    </sheetView>
  </sheetViews>
  <sheetFormatPr defaultColWidth="9" defaultRowHeight="13.2" outlineLevelRow="7" outlineLevelCol="1"/>
  <cols>
    <col min="1" max="2" width="18" customWidth="1"/>
  </cols>
  <sheetData>
    <row r="1" ht="22" customHeight="1" spans="1:2">
      <c r="A1" s="1" t="s">
        <v>361</v>
      </c>
    </row>
    <row r="4" spans="1:2">
      <c r="A4" s="2" t="s">
        <v>97</v>
      </c>
      <c r="B4" s="2" t="s">
        <v>69</v>
      </c>
    </row>
    <row r="5" spans="1:2">
      <c r="A5" s="3" t="s">
        <v>51</v>
      </c>
      <c r="B5" s="3" t="s">
        <v>70</v>
      </c>
    </row>
    <row r="6" spans="1:2">
      <c r="A6" s="3" t="s">
        <v>48</v>
      </c>
      <c r="B6" s="3" t="s">
        <v>71</v>
      </c>
    </row>
    <row r="7" spans="1:2">
      <c r="A7" s="3" t="s">
        <v>49</v>
      </c>
      <c r="B7" s="3" t="s">
        <v>72</v>
      </c>
    </row>
    <row r="8" spans="1:2">
      <c r="A8" s="3" t="s">
        <v>50</v>
      </c>
    </row>
  </sheetData>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Thông tin</vt:lpstr>
      <vt:lpstr>Tổng hợp</vt:lpstr>
      <vt:lpstr>Kịch bản kiểm thử</vt:lpstr>
      <vt:lpstr>Danh sách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2026-10-26T06:51:00Z</dcterms:created>
  <dcterms:modified xsi:type="dcterms:W3CDTF">2026-10-26T06:52:05Z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8EEAFF504F0B41D78C3B5F4372EAA6D4_12</vt:lpwstr>
  </property>
  <property fmtid="{D5CDD505-2E9C-101B-9397-08002B2CF9AE}" pid="3" name="KSOProductBuildVer">
    <vt:lpwstr>1033-12.1.0.29162</vt:lpwstr>
  </property>
  <property fmtid="{D5CDD505-2E9C-101B-9397-08002B2CF9AE}" pid="4" name="CalculationRule">
    <vt:i4>0</vt:i4>
  </property>
</Properties>
</file>