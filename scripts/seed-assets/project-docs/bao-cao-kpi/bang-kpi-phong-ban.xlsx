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Thông tin" sheetId="1" r:id="rId1"/>
    <sheet name="Tổng hợp" sheetId="2" r:id="rId2"/>
    <sheet name="Tính KPI" sheetId="3" r:id="rId3"/>
    <sheet name="Nhập liệu" sheetId="4" r:id="rId4"/>
    <sheet name="Doanh số" sheetId="5" r:id="rId5"/>
    <sheet name="Ngưỡng KPI" sheetId="6" r:id="rId6"/>
  </sheets>
  <definedNames>
    <definedName name="_xlnm._FilterDatabase" localSheetId="2" hidden="1">'Tính KPI'!$A$4:$N$16</definedName>
    <definedName name="_xlnm._FilterDatabase" localSheetId="3" hidden="1">'Nhập liệu'!$A$4:$M$16</definedName>
    <definedName name="_xlnm._FilterDatabase" localSheetId="4" hidden="1">'Doanh số'!$A$4:$F$8</definedName>
    <definedName name="_xlnm._FilterDatabase" localSheetId="5" hidden="1">'Ngưỡng KPI'!$A$4:$J$14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<sst xmlns="http://schemas.openxmlformats.org/spreadsheetml/2006/main" count="285" uniqueCount="151">
  <si>
    <t>Bảng KPI mẫu theo phòng ban — Quý III/2026</t>
  </si>
  <si>
    <t>Dự án</t>
  </si>
  <si>
    <t>Hệ thống báo cáo KPI</t>
  </si>
  <si>
    <t>Nền tảng</t>
  </si>
  <si>
    <t>ECAP — nền tảng cộng tác và phân tích dữ liệu cho doanh nghiệp vừa và nhỏ</t>
  </si>
  <si>
    <t>Đơn vị</t>
  </si>
  <si>
    <t>Công ty Demo SME (kinh doanh máy tính, linh kiện và phụ kiện)</t>
  </si>
  <si>
    <t>Người đọc</t>
  </si>
  <si>
    <t>Trưởng phòng, ban giám đốc</t>
  </si>
  <si>
    <t>Phiên bản</t>
  </si>
  <si>
    <t>1.0</t>
  </si>
  <si>
    <t>Ngày phát hành</t>
  </si>
  <si>
    <t>Phân loại</t>
  </si>
  <si>
    <t>Tài liệu nội bộ — Công ty Demo SME — dùng cho mục đích minh hoạ đồ án</t>
  </si>
  <si>
    <t>Số liệu</t>
  </si>
  <si>
    <t>Toàn bộ số liệu KPI và doanh số là số liệu minh hoạ.</t>
  </si>
  <si>
    <t>Chú giải</t>
  </si>
  <si>
    <t>Giá trị mẫu</t>
  </si>
  <si>
    <t>Ô nhập liệu (nền vàng, chữ xanh): người dùng được sửa hoặc nhập mới; mọi công thức tự tính lại.</t>
  </si>
  <si>
    <t>Công thức</t>
  </si>
  <si>
    <t>Ô công thức (nền trắng, chữ đen): tính tự động, không nhập đè.</t>
  </si>
  <si>
    <t>Tiêu đề</t>
  </si>
  <si>
    <t>Dòng tiêu đề bảng: đã cố định (freeze) và bật bộ lọc.</t>
  </si>
  <si>
    <t>Cấu trúc workbook</t>
  </si>
  <si>
    <t>Tổng hợp</t>
  </si>
  <si>
    <t>KPI quý III/2026 theo phòng ban và toàn công ty, đánh giá so với ngưỡng, tỷ lệ hoàn thành theo tháng; 2 biểu đồ.</t>
  </si>
  <si>
    <t>Tính KPI</t>
  </si>
  <si>
    <t>KPI từng tháng × phòng ban tính bằng công thức từ sheet Nhập liệu, kèm đánh giá Đạt / Cần theo dõi / Cần xử lý ngay.</t>
  </si>
  <si>
    <t>Nhập liệu</t>
  </si>
  <si>
    <t>Số liệu đầu vào theo tháng × phòng ban (Kinh doanh, Kỹ thuật, Marketing, Nhân sự) — toàn bộ là ô nhập liệu.</t>
  </si>
  <si>
    <t>Doanh số</t>
  </si>
  <si>
    <t>Deal thắng và doanh số toàn công ty theo tháng (tuỳ chọn), tăng trưởng tính bằng công thức.</t>
  </si>
  <si>
    <t>Ngưỡng KPI</t>
  </si>
  <si>
    <t>Từ điển KPI: đơn vị, công thức, chiều tốt, mục tiêu và ngưỡng Cần theo dõi / Cần xử lý ngay (ô nhập liệu).</t>
  </si>
  <si>
    <t>Giả định và nguồn dữ liệu</t>
  </si>
  <si>
    <t>1.</t>
  </si>
  <si>
    <t>Bộ số liệu dùng chung với báo cáo KPI quý III/2026 cho ban giám đốc (bao-cao-kpi-quy.pptx) để hai tài liệu khớp số.</t>
  </si>
  <si>
    <t>2.</t>
  </si>
  <si>
    <t>Tỷ lệ hoàn thành = Công việc hoàn thành / Tổng công việc; Tỷ lệ quá hạn = Công việc quá hạn / Tổng công việc.</t>
  </si>
  <si>
    <t>3.</t>
  </si>
  <si>
    <t>Tỷ lệ thành viên hoạt động = Thành viên hoạt động / Sĩ số; Tỷ lệ chấm công = Ngày chấm công / (Sĩ số × Ngày làm việc).</t>
  </si>
  <si>
    <t>4.</t>
  </si>
  <si>
    <t>Số liệu quý = tổng 3 tháng (SUMIFS); thành viên hoạt động quý là bình quân 3 tháng (AVERAGEIFS).</t>
  </si>
  <si>
    <t>5.</t>
  </si>
  <si>
    <t>Ngày làm việc = thứ Hai–thứ Sáu, trừ 01–02/09 nghỉ lễ Quốc khánh (giả định minh hoạ).</t>
  </si>
  <si>
    <t>6.</t>
  </si>
  <si>
    <t>Mục tiêu và ngưỡng (hoàn thành ≥ 80%, quá hạn ≤ 8%, thành viên hoạt động ≥ 95%, chấm công ≥ 95%) là giả định minh hoạ, sửa ở sheet Ngưỡng KPI.</t>
  </si>
  <si>
    <t>7.</t>
  </si>
  <si>
    <t>Tên chỉ số tương ứng với dữ liệu của phân hệ Báo cáo &amp; Phân tích trên ECAP (công việc, tài liệu, chấm công, phát hiện bất thường).</t>
  </si>
  <si>
    <t>Tổng hợp KPI quý III/2026 theo phòng ban</t>
  </si>
  <si>
    <t>Số liệu quý tính bằng SUMIFS/AVERAGEIFS từ sheet Nhập liệu; số liệu minh hoạ.</t>
  </si>
  <si>
    <t>1. KPI quý theo phòng ban</t>
  </si>
  <si>
    <t>Phòng ban</t>
  </si>
  <si>
    <t>Sĩ số</t>
  </si>
  <si>
    <t>Ngày làm việc</t>
  </si>
  <si>
    <t>Tổng công việc</t>
  </si>
  <si>
    <t>Công việc hoàn thành</t>
  </si>
  <si>
    <t>Công việc quá hạn</t>
  </si>
  <si>
    <t>Thành viên hoạt động (bình quân)</t>
  </si>
  <si>
    <t>Tài liệu mới</t>
  </si>
  <si>
    <t>Ngày chấm công</t>
  </si>
  <si>
    <t>Trường hợp bất thường</t>
  </si>
  <si>
    <t>Tỷ lệ hoàn thành</t>
  </si>
  <si>
    <t>Đánh giá</t>
  </si>
  <si>
    <t>Tỷ lệ quá hạn</t>
  </si>
  <si>
    <t>Tỷ lệ thành viên hoạt động</t>
  </si>
  <si>
    <t>Tỷ lệ chấm công</t>
  </si>
  <si>
    <t>Số tháng đạt mục tiêu hoàn thành</t>
  </si>
  <si>
    <t>Kinh doanh</t>
  </si>
  <si>
    <t>Kỹ thuật</t>
  </si>
  <si>
    <t>Marketing</t>
  </si>
  <si>
    <t>Nhân sự</t>
  </si>
  <si>
    <t>Toàn công ty</t>
  </si>
  <si>
    <t>Ghi chú</t>
  </si>
  <si>
    <t>Ngày làm việc toàn công ty là bình quân gia quyền theo sĩ số; thành viên hoạt động là bình quân 3 tháng; cột R dòng Toàn công ty là số tháng tỷ lệ hoàn thành toàn công ty đạt mục tiêu (bảng 2).</t>
  </si>
  <si>
    <t>2. Tỷ lệ hoàn thành công việc theo tháng</t>
  </si>
  <si>
    <t>Tháng</t>
  </si>
  <si>
    <t>Tháng 7/2026</t>
  </si>
  <si>
    <t>Tháng 8/2026</t>
  </si>
  <si>
    <t>Tháng 9/2026</t>
  </si>
  <si>
    <t>Mục tiêu</t>
  </si>
  <si>
    <t>Tính KPI theo tháng × phòng ban</t>
  </si>
  <si>
    <t>Chữ xanh lá = liên kết sang sheet Nhập liệu; còn lại là công thức.</t>
  </si>
  <si>
    <t>Mã tháng</t>
  </si>
  <si>
    <t>Số KPI đạt (/4)</t>
  </si>
  <si>
    <t>Nhập liệu KPI theo tháng × phòng ban</t>
  </si>
  <si>
    <t>Toàn bộ ô vàng là số liệu đầu vào (số liệu minh hoạ).</t>
  </si>
  <si>
    <t>Mã PB</t>
  </si>
  <si>
    <t>Thành viên hoạt động</t>
  </si>
  <si>
    <t>2026-07</t>
  </si>
  <si>
    <t>KD</t>
  </si>
  <si>
    <t>KT</t>
  </si>
  <si>
    <t>MKT</t>
  </si>
  <si>
    <t>NS</t>
  </si>
  <si>
    <t>2026-08</t>
  </si>
  <si>
    <t>2026-09</t>
  </si>
  <si>
    <t>Doanh số và deal thắng toàn công ty</t>
  </si>
  <si>
    <t>Ô vàng là số liệu đầu vào (số liệu minh hoạ).</t>
  </si>
  <si>
    <t>Deal thắng</t>
  </si>
  <si>
    <t>Doanh số (triệu VND)</t>
  </si>
  <si>
    <t>Doanh số bình quân/deal (triệu VND)</t>
  </si>
  <si>
    <t>Tăng trưởng doanh số so với tháng trước</t>
  </si>
  <si>
    <t>—</t>
  </si>
  <si>
    <t>Quý III/2026</t>
  </si>
  <si>
    <t>Tổng quý</t>
  </si>
  <si>
    <t>Ô F8: tăng trưởng tháng cuối quý so với tháng đầu quý. Doanh số / Deal thắng toàn công ty (thẻ KPI 'Doanh số / Deal thắng' trên trang Báo cáo &amp; Phân tích); tuỳ chọn sử dụng.</t>
  </si>
  <si>
    <t>Từ điển và ngưỡng KPI</t>
  </si>
  <si>
    <t>Mục tiêu và ngưỡng là ô nhập liệu (số liệu minh hoạ).</t>
  </si>
  <si>
    <t>Mã KPI</t>
  </si>
  <si>
    <t>Tên KPI</t>
  </si>
  <si>
    <t>Loại</t>
  </si>
  <si>
    <t>Chiều tốt</t>
  </si>
  <si>
    <t>Mục tiêu (Đạt)</t>
  </si>
  <si>
    <t>Ngưỡng Cần theo dõi</t>
  </si>
  <si>
    <t>Ngưỡng Cần xử lý ngay</t>
  </si>
  <si>
    <t>Nguồn dữ liệu</t>
  </si>
  <si>
    <t>tasksCreated</t>
  </si>
  <si>
    <t>công việc</t>
  </si>
  <si>
    <t>Đầu vào</t>
  </si>
  <si>
    <t>Trung tính</t>
  </si>
  <si>
    <t>Số liệu nhập</t>
  </si>
  <si>
    <t>analytics-service AnalyticsSummary.totalTasksCreated (sự kiện task.created, lọc departmentId qua dim_user)</t>
  </si>
  <si>
    <t>tasksCompleted</t>
  </si>
  <si>
    <t>Càng cao càng tốt</t>
  </si>
  <si>
    <t>analytics-service AnalyticsSummary.totalTasksCompleted (task chuyển trạng thái DONE)</t>
  </si>
  <si>
    <t>completionRate</t>
  </si>
  <si>
    <t>%</t>
  </si>
  <si>
    <t>Tính toán</t>
  </si>
  <si>
    <t>tasksCompleted / tasksCreated</t>
  </si>
  <si>
    <t>analytics-service AnalyticsSummary.completionRate</t>
  </si>
  <si>
    <t>overdueTasks</t>
  </si>
  <si>
    <t>Càng thấp càng tốt</t>
  </si>
  <si>
    <t>analytics-service DrillDownResult.overdueTasks (due_date &lt; now() và chưa DONE)</t>
  </si>
  <si>
    <t>overdueRate</t>
  </si>
  <si>
    <t>Tỷ lệ công việc quá hạn</t>
  </si>
  <si>
    <t>overdueTasks / tasksCreated</t>
  </si>
  <si>
    <t>tính từ overdueTasks và totalTasksCreated</t>
  </si>
  <si>
    <t>activeUsers</t>
  </si>
  <si>
    <t>người</t>
  </si>
  <si>
    <t>analytics-service AnalyticsSummary.activeUsersLast7Days (fact_user_activity, số người dùng khác nhau)</t>
  </si>
  <si>
    <t>activeUserRate</t>
  </si>
  <si>
    <t>activeUsers / headcount</t>
  </si>
  <si>
    <t>tính từ activeUsers và sĩ số phòng ban (dim_user)</t>
  </si>
  <si>
    <t>newDocuments</t>
  </si>
  <si>
    <t>tệp</t>
  </si>
  <si>
    <t>analytics-service AnalyticsSummary.newDocumentsThisWeek / DocumentActivityPoint.filesUploaded (fact_document_events)</t>
  </si>
  <si>
    <t>attendanceRate</t>
  </si>
  <si>
    <t>checkInDays / (headcount × workingDays)</t>
  </si>
  <si>
    <t>ml-service feature attendanceRate (fact_attendance, sự kiện hrm.events)</t>
  </si>
  <si>
    <t>anomaliesFlagged</t>
  </si>
  <si>
    <t>ml-service POST /ml/anomalies (IsolationForest, contamination = 0,1)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</si>
</sst>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;\(0.0%\);&quot;-&quot;"/>
    <numFmt numFmtId="179" formatCode="#,##0;\(#,##0\);&quot;-&quot;"/>
    <numFmt numFmtId="180" formatCode="#,##0.0"/>
    <numFmt numFmtId="181" formatCode="0.0"/>
    <numFmt numFmtId="182" formatCode="dd/mm/yyyy"/>
  </numFmts>
  <fonts count="29">
    <font>
      <sz val="10"/>
      <name val="Arial"/>
      <charset val="134"/>
    </font>
    <font>
      <b/>
      <sz val="14"/>
      <color rgb="FF1F4E78"/>
      <name val="Arial"/>
      <charset val="134"/>
    </font>
    <font>
      <i/>
      <sz val="9"/>
      <color rgb="FF595959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rgb="FF595959"/>
      <name val="Arial"/>
      <charset val="134"/>
    </font>
    <font>
      <sz val="10"/>
      <color rgb="FF0000FF"/>
      <name val="Arial"/>
      <charset val="134"/>
    </font>
    <font>
      <sz val="10"/>
      <color rgb="FF008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78" fontId="7" fillId="3" borderId="1" xfId="0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179" fontId="7" fillId="3" borderId="1" xfId="0" applyNumberFormat="1" applyFont="1" applyFill="1" applyBorder="1" applyAlignment="1">
      <alignment horizontal="center" vertical="top" wrapText="1"/>
    </xf>
    <xf numFmtId="180" fontId="4" fillId="0" borderId="1" xfId="0" applyNumberFormat="1" applyFont="1" applyBorder="1" applyAlignment="1">
      <alignment horizontal="center" vertical="top" wrapText="1"/>
    </xf>
    <xf numFmtId="178" fontId="4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179" fontId="5" fillId="4" borderId="1" xfId="0" applyNumberFormat="1" applyFont="1" applyFill="1" applyBorder="1" applyAlignment="1">
      <alignment horizontal="center" vertical="top" wrapText="1"/>
    </xf>
    <xf numFmtId="180" fontId="5" fillId="4" borderId="1" xfId="0" applyNumberFormat="1" applyFont="1" applyFill="1" applyBorder="1" applyAlignment="1">
      <alignment horizontal="center" vertical="top" wrapText="1"/>
    </xf>
    <xf numFmtId="178" fontId="5" fillId="4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79" fontId="8" fillId="0" borderId="1" xfId="0" applyNumberFormat="1" applyFont="1" applyBorder="1" applyAlignment="1">
      <alignment horizontal="center" vertical="top" wrapText="1"/>
    </xf>
    <xf numFmtId="179" fontId="4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181" fontId="4" fillId="0" borderId="1" xfId="0" applyNumberFormat="1" applyFont="1" applyBorder="1" applyAlignment="1">
      <alignment horizontal="center" vertical="top" wrapText="1"/>
    </xf>
    <xf numFmtId="181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178" fontId="5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78" fontId="8" fillId="0" borderId="1" xfId="0" applyNumberFormat="1" applyFont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82" fontId="4" fillId="0" borderId="1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Tỷ lệ hoàn thành và quá hạn — Quý III/2026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hợp'!$K$4</c:f>
              <c:strCache>
                <c:ptCount val="1"/>
                <c:pt idx="0">
                  <c:v>Tỷ lệ hoàn thành</c:v>
                </c:pt>
              </c:strCache>
            </c:strRef>
          </c:tx>
          <c:spPr>
            <a:solidFill>
              <a:srgbClr val="1F4E78"/>
            </a:solidFill>
            <a:ln w="9525" cap="flat" cmpd="sng" algn="ctr">
              <a:solidFill>
                <a:srgbClr val="1F4E78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'Tổng hợp'!$A$5:$A$8</c:f>
              <c:strCache>
                <c:ptCount val="4"/>
                <c:pt idx="0">
                  <c:v>Kinh doanh</c:v>
                </c:pt>
                <c:pt idx="1">
                  <c:v>Kỹ thuật</c:v>
                </c:pt>
                <c:pt idx="2">
                  <c:v>Marketing</c:v>
                </c:pt>
                <c:pt idx="3">
                  <c:v>Nhân sự</c:v>
                </c:pt>
              </c:strCache>
            </c:strRef>
          </c:cat>
          <c:val>
            <c:numRef>
              <c:f>'Tổng hợp'!$K$5:$K$8</c:f>
              <c:numCache>
                <c:formatCode>0.0%;\(0.0%\);"-"</c:formatCode>
                <c:ptCount val="4"/>
                <c:pt idx="0">
                  <c:v>0.687074829931973</c:v>
                </c:pt>
                <c:pt idx="1">
                  <c:v>0.87378640776699</c:v>
                </c:pt>
                <c:pt idx="2">
                  <c:v>0.78494623655914</c:v>
                </c:pt>
                <c:pt idx="3">
                  <c:v>0.883333333333333</c:v>
                </c:pt>
              </c:numCache>
            </c:numRef>
          </c:val>
        </c:ser>
        <c:ser>
          <c:idx val="1"/>
          <c:order val="1"/>
          <c:tx>
            <c:strRef>
              <c:f>'Tổng hợp'!$M$4</c:f>
              <c:strCache>
                <c:ptCount val="1"/>
                <c:pt idx="0">
                  <c:v>Tỷ lệ quá hạn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rgbClr val="C00000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'Tổng hợp'!$A$5:$A$8</c:f>
              <c:strCache>
                <c:ptCount val="4"/>
                <c:pt idx="0">
                  <c:v>Kinh doanh</c:v>
                </c:pt>
                <c:pt idx="1">
                  <c:v>Kỹ thuật</c:v>
                </c:pt>
                <c:pt idx="2">
                  <c:v>Marketing</c:v>
                </c:pt>
                <c:pt idx="3">
                  <c:v>Nhân sự</c:v>
                </c:pt>
              </c:strCache>
            </c:strRef>
          </c:cat>
          <c:val>
            <c:numRef>
              <c:f>'Tổng hợp'!$M$5:$M$8</c:f>
              <c:numCache>
                <c:formatCode>0.0%;\(0.0%\);"-"</c:formatCode>
                <c:ptCount val="4"/>
                <c:pt idx="0">
                  <c:v>0.136054421768707</c:v>
                </c:pt>
                <c:pt idx="1">
                  <c:v>0.0339805825242718</c:v>
                </c:pt>
                <c:pt idx="2">
                  <c:v>0.0967741935483871</c:v>
                </c:pt>
                <c:pt idx="3">
                  <c:v>0.0333333333333333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c7306d-4217-41c0-8395-e8bfceaa63f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Tỷ lệ hoàn thành theo tháng và phòng ban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'Tổng hợp'!$B$13</c:f>
              <c:strCache>
                <c:ptCount val="1"/>
                <c:pt idx="0">
                  <c:v>Kinh doanh</c:v>
                </c:pt>
              </c:strCache>
            </c:strRef>
          </c:tx>
          <c:spPr>
            <a:ln w="28575" cap="rnd" cmpd="sng" algn="ctr">
              <a:solidFill>
                <a:srgbClr val="1F4E78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'Tổng hợp'!$A$14:$A$16</c:f>
              <c:strCache>
                <c:ptCount val="3"/>
                <c:pt idx="0">
                  <c:v>Tháng 7/2026</c:v>
                </c:pt>
                <c:pt idx="1">
                  <c:v>Tháng 8/2026</c:v>
                </c:pt>
                <c:pt idx="2">
                  <c:v>Tháng 9/2026</c:v>
                </c:pt>
              </c:strCache>
            </c:strRef>
          </c:cat>
          <c:val>
            <c:numRef>
              <c:f>'Tổng hợp'!$B$14:$B$16</c:f>
              <c:numCache>
                <c:formatCode>0.0%;\(0.0%\);"-"</c:formatCode>
                <c:ptCount val="3"/>
                <c:pt idx="0">
                  <c:v>0.652173913043478</c:v>
                </c:pt>
                <c:pt idx="1">
                  <c:v>0.673076923076923</c:v>
                </c:pt>
                <c:pt idx="2">
                  <c:v>0.73469387755102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'Tổng hợp'!$C$13</c:f>
              <c:strCache>
                <c:ptCount val="1"/>
                <c:pt idx="0">
                  <c:v>Kỹ thuật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'Tổng hợp'!$A$14:$A$16</c:f>
              <c:strCache>
                <c:ptCount val="3"/>
                <c:pt idx="0">
                  <c:v>Tháng 7/2026</c:v>
                </c:pt>
                <c:pt idx="1">
                  <c:v>Tháng 8/2026</c:v>
                </c:pt>
                <c:pt idx="2">
                  <c:v>Tháng 9/2026</c:v>
                </c:pt>
              </c:strCache>
            </c:strRef>
          </c:cat>
          <c:val>
            <c:numRef>
              <c:f>'Tổng hợp'!$C$14:$C$16</c:f>
              <c:numCache>
                <c:formatCode>0.0%;\(0.0%\);"-"</c:formatCode>
                <c:ptCount val="3"/>
                <c:pt idx="0">
                  <c:v>0.859375</c:v>
                </c:pt>
                <c:pt idx="1">
                  <c:v>0.871428571428571</c:v>
                </c:pt>
                <c:pt idx="2">
                  <c:v>0.888888888888889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'Tổng hợp'!$D$13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'Tổng hợp'!$A$14:$A$16</c:f>
              <c:strCache>
                <c:ptCount val="3"/>
                <c:pt idx="0">
                  <c:v>Tháng 7/2026</c:v>
                </c:pt>
                <c:pt idx="1">
                  <c:v>Tháng 8/2026</c:v>
                </c:pt>
                <c:pt idx="2">
                  <c:v>Tháng 9/2026</c:v>
                </c:pt>
              </c:strCache>
            </c:strRef>
          </c:cat>
          <c:val>
            <c:numRef>
              <c:f>'Tổng hợp'!$D$14:$D$16</c:f>
              <c:numCache>
                <c:formatCode>0.0%;\(0.0%\);"-"</c:formatCode>
                <c:ptCount val="3"/>
                <c:pt idx="0">
                  <c:v>0.785714285714286</c:v>
                </c:pt>
                <c:pt idx="1">
                  <c:v>0.764705882352941</c:v>
                </c:pt>
                <c:pt idx="2">
                  <c:v>0.806451612903226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'Tổng hợp'!$E$13</c:f>
              <c:strCache>
                <c:ptCount val="1"/>
                <c:pt idx="0">
                  <c:v>Nhân sự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'Tổng hợp'!$A$14:$A$16</c:f>
              <c:strCache>
                <c:ptCount val="3"/>
                <c:pt idx="0">
                  <c:v>Tháng 7/2026</c:v>
                </c:pt>
                <c:pt idx="1">
                  <c:v>Tháng 8/2026</c:v>
                </c:pt>
                <c:pt idx="2">
                  <c:v>Tháng 9/2026</c:v>
                </c:pt>
              </c:strCache>
            </c:strRef>
          </c:cat>
          <c:val>
            <c:numRef>
              <c:f>'Tổng hợp'!$E$14:$E$16</c:f>
              <c:numCache>
                <c:formatCode>0.0%;\(0.0%\);"-"</c:formatCode>
                <c:ptCount val="3"/>
                <c:pt idx="0">
                  <c:v>0.888888888888889</c:v>
                </c:pt>
                <c:pt idx="1">
                  <c:v>0.85</c:v>
                </c:pt>
                <c:pt idx="2">
                  <c:v>0.909090909090909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'Tổng hợp'!$F$13</c:f>
              <c:strCache>
                <c:ptCount val="1"/>
                <c:pt idx="0">
                  <c:v>Toàn công ty</c:v>
                </c:pt>
              </c:strCache>
            </c:strRef>
          </c:tx>
          <c:spPr>
            <a:ln w="28575" cap="rnd" cmpd="sng" algn="ctr">
              <a:solidFill>
                <a:srgbClr val="40404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'Tổng hợp'!$A$14:$A$16</c:f>
              <c:strCache>
                <c:ptCount val="3"/>
                <c:pt idx="0">
                  <c:v>Tháng 7/2026</c:v>
                </c:pt>
                <c:pt idx="1">
                  <c:v>Tháng 8/2026</c:v>
                </c:pt>
                <c:pt idx="2">
                  <c:v>Tháng 9/2026</c:v>
                </c:pt>
              </c:strCache>
            </c:strRef>
          </c:cat>
          <c:val>
            <c:numRef>
              <c:f>'Tổng hợp'!$F$14:$F$16</c:f>
              <c:numCache>
                <c:formatCode>0.0%;\(0.0%\);"-"</c:formatCode>
                <c:ptCount val="3"/>
                <c:pt idx="0">
                  <c:v>0.788461538461538</c:v>
                </c:pt>
                <c:pt idx="1">
                  <c:v>0.789772727272727</c:v>
                </c:pt>
                <c:pt idx="2">
                  <c:v>0.833333333333333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.6"/>
        </c:scaling>
        <c:delete val="0"/>
        <c:axPos val="l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897fd6-5726-4799-8762-7d10fd61294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19</xdr:row>
      <xdr:rowOff>0</xdr:rowOff>
    </xdr:from>
    <xdr:ext cx="5400000" cy="2851380"/>
    <xdr:graphicFrame>
      <xdr:nvGraphicFramePr>
        <xdr:cNvPr id="2" name="Chart 1"/>
        <xdr:cNvGraphicFramePr/>
      </xdr:nvGraphicFramePr>
      <xdr:xfrm>
        <a:off x="0" y="4079240"/>
        <a:ext cx="5399405" cy="285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400000" cy="2851380"/>
    <xdr:graphicFrame>
      <xdr:nvGraphicFramePr>
        <xdr:cNvPr id="3" name="Chart 2"/>
        <xdr:cNvGraphicFramePr/>
      </xdr:nvGraphicFramePr>
      <xdr:xfrm>
        <a:off x="5897880" y="4079240"/>
        <a:ext cx="5399405" cy="285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1"/>
  <sheetViews>
    <sheetView showGridLines="0" tabSelected="1" workbookViewId="0">
      <selection activeCell="A1" sqref="A1"/>
    </sheetView>
  </sheetViews>
  <sheetFormatPr defaultColWidth="9" defaultRowHeight="13.2" outlineLevelCol="1"/>
  <cols>
    <col min="1" max="1" width="26" customWidth="1"/>
    <col min="2" max="2" width="95" customWidth="1"/>
  </cols>
  <sheetData>
    <row r="1" ht="22" customHeight="1" spans="1:2">
      <c r="A1" s="1" t="s">
        <v>0</v>
      </c>
    </row>
    <row r="3" spans="1:2">
      <c r="A3" s="30" t="s">
        <v>1</v>
      </c>
      <c r="B3" s="31" t="s">
        <v>2</v>
      </c>
    </row>
    <row r="4" spans="1:2">
      <c r="A4" s="30" t="s">
        <v>3</v>
      </c>
      <c r="B4" s="31" t="s">
        <v>4</v>
      </c>
    </row>
    <row r="5" spans="1:2">
      <c r="A5" s="30" t="s">
        <v>5</v>
      </c>
      <c r="B5" s="31" t="s">
        <v>6</v>
      </c>
    </row>
    <row r="6" spans="1:2">
      <c r="A6" s="30" t="s">
        <v>7</v>
      </c>
      <c r="B6" s="31" t="s">
        <v>8</v>
      </c>
    </row>
    <row r="7" spans="1:2">
      <c r="A7" s="30" t="s">
        <v>9</v>
      </c>
      <c r="B7" s="31" t="s">
        <v>10</v>
      </c>
    </row>
    <row r="8" spans="1:2">
      <c r="A8" s="30" t="s">
        <v>11</v>
      </c>
      <c r="B8" s="32">
        <v>46321</v>
      </c>
    </row>
    <row r="9" spans="1:2">
      <c r="A9" s="30" t="s">
        <v>12</v>
      </c>
      <c r="B9" s="31" t="s">
        <v>13</v>
      </c>
    </row>
    <row r="10" spans="1:2">
      <c r="A10" s="30" t="s">
        <v>14</v>
      </c>
      <c r="B10" s="31" t="s">
        <v>15</v>
      </c>
    </row>
    <row r="12" spans="1:2">
      <c r="A12" s="23" t="s">
        <v>16</v>
      </c>
    </row>
    <row r="13" spans="1:2">
      <c r="A13" s="9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33" t="s">
        <v>21</v>
      </c>
      <c r="B15" s="4" t="s">
        <v>22</v>
      </c>
    </row>
    <row r="17" spans="1:2">
      <c r="A17" s="23" t="s">
        <v>23</v>
      </c>
    </row>
    <row r="18" spans="1:2">
      <c r="A18" s="5" t="s">
        <v>24</v>
      </c>
      <c r="B18" s="4" t="s">
        <v>25</v>
      </c>
    </row>
    <row r="19" ht="26.4" spans="1:2">
      <c r="A19" s="5" t="s">
        <v>26</v>
      </c>
      <c r="B19" s="4" t="s">
        <v>27</v>
      </c>
    </row>
    <row r="20" spans="1:2">
      <c r="A20" s="5" t="s">
        <v>28</v>
      </c>
      <c r="B20" s="4" t="s">
        <v>29</v>
      </c>
    </row>
    <row r="21" spans="1:2">
      <c r="A21" s="5" t="s">
        <v>30</v>
      </c>
      <c r="B21" s="4" t="s">
        <v>31</v>
      </c>
    </row>
    <row r="22" spans="1:2">
      <c r="A22" s="5" t="s">
        <v>32</v>
      </c>
      <c r="B22" s="4" t="s">
        <v>33</v>
      </c>
    </row>
    <row r="24" spans="1:2">
      <c r="A24" s="23" t="s">
        <v>34</v>
      </c>
    </row>
    <row r="25" ht="26.4" spans="1:2">
      <c r="A25" s="6" t="s">
        <v>35</v>
      </c>
      <c r="B25" s="4" t="s">
        <v>36</v>
      </c>
    </row>
    <row r="26" spans="1:2">
      <c r="A26" s="6" t="s">
        <v>37</v>
      </c>
      <c r="B26" s="4" t="s">
        <v>38</v>
      </c>
    </row>
    <row r="27" ht="26.4" spans="1:2">
      <c r="A27" s="6" t="s">
        <v>39</v>
      </c>
      <c r="B27" s="4" t="s">
        <v>40</v>
      </c>
    </row>
    <row r="28" spans="1:2">
      <c r="A28" s="6" t="s">
        <v>41</v>
      </c>
      <c r="B28" s="4" t="s">
        <v>42</v>
      </c>
    </row>
    <row r="29" spans="1:2">
      <c r="A29" s="6" t="s">
        <v>43</v>
      </c>
      <c r="B29" s="4" t="s">
        <v>44</v>
      </c>
    </row>
    <row r="30" ht="26.4" spans="1:2">
      <c r="A30" s="6" t="s">
        <v>45</v>
      </c>
      <c r="B30" s="4" t="s">
        <v>46</v>
      </c>
    </row>
    <row r="31" ht="26.4" spans="1:2">
      <c r="A31" s="6" t="s">
        <v>47</v>
      </c>
      <c r="B31" s="4" t="s">
        <v>48</v>
      </c>
    </row>
  </sheetData>
  <pageMargins left="0.75" right="0.75" top="1" bottom="1" header="0.5" footer="0.5"/>
  <pageSetup paperSize="1" orientation="landscape"/>
  <headerFooter>
    <oddFooter>&amp;C&amp;"Arial"&amp;8 Tài liệu nội bộ — Công ty Demo SME — dùng cho mục đích minh hoạ đồ án&amp;R&amp;"Arial"&amp;8 Trang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7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6" customWidth="1"/>
    <col min="2" max="2" width="8" customWidth="1"/>
    <col min="3" max="4" width="10" customWidth="1"/>
    <col min="5" max="5" width="11" customWidth="1"/>
    <col min="6" max="6" width="10" customWidth="1"/>
    <col min="7" max="7" width="12" customWidth="1"/>
    <col min="8" max="8" width="9" customWidth="1"/>
    <col min="9" max="9" width="10" customWidth="1"/>
    <col min="10" max="11" width="11" customWidth="1"/>
    <col min="12" max="12" width="15" customWidth="1"/>
    <col min="13" max="13" width="10" customWidth="1"/>
    <col min="14" max="14" width="15" customWidth="1"/>
    <col min="15" max="15" width="12" customWidth="1"/>
    <col min="16" max="16" width="11" customWidth="1"/>
    <col min="17" max="17" width="15" customWidth="1"/>
    <col min="18" max="18" width="12" customWidth="1"/>
  </cols>
  <sheetData>
    <row r="1" ht="22" customHeight="1" spans="1:18">
      <c r="A1" s="1" t="s">
        <v>49</v>
      </c>
    </row>
    <row r="2" spans="1:18">
      <c r="A2" s="2" t="s">
        <v>50</v>
      </c>
    </row>
    <row r="3" spans="1:18">
      <c r="A3" s="23" t="s">
        <v>51</v>
      </c>
    </row>
    <row r="4" ht="56" customHeight="1" spans="1:18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63</v>
      </c>
      <c r="O4" s="3" t="s">
        <v>65</v>
      </c>
      <c r="P4" s="3" t="s">
        <v>66</v>
      </c>
      <c r="Q4" s="3" t="s">
        <v>63</v>
      </c>
      <c r="R4" s="3" t="s">
        <v>67</v>
      </c>
    </row>
    <row r="5" spans="1:18">
      <c r="A5" s="5" t="s">
        <v>68</v>
      </c>
      <c r="B5" s="22">
        <f>IFERROR(AVERAGEIFS('Nhập liệu'!$E$5:$E$200,'Nhập liệu'!$C$5:$C$200,A5),0)</f>
        <v>8</v>
      </c>
      <c r="C5" s="22">
        <f>SUMIFS('Nhập liệu'!$F$5:$F$200,'Nhập liệu'!$C$5:$C$200,A5)</f>
        <v>64</v>
      </c>
      <c r="D5" s="22">
        <f>SUMIFS('Nhập liệu'!$G$5:$G$200,'Nhập liệu'!$C$5:$C$200,A5)</f>
        <v>147</v>
      </c>
      <c r="E5" s="22">
        <f>SUMIFS('Nhập liệu'!$H$5:$H$200,'Nhập liệu'!$C$5:$C$200,A5)</f>
        <v>101</v>
      </c>
      <c r="F5" s="22">
        <f>SUMIFS('Nhập liệu'!$I$5:$I$200,'Nhập liệu'!$C$5:$C$200,A5)</f>
        <v>20</v>
      </c>
      <c r="G5" s="24">
        <f>IFERROR(AVERAGEIFS('Nhập liệu'!$J$5:$J$200,'Nhập liệu'!$C$5:$C$200,A5),0)</f>
        <v>7.66666666666667</v>
      </c>
      <c r="H5" s="22">
        <f>SUMIFS('Nhập liệu'!$K$5:$K$200,'Nhập liệu'!$C$5:$C$200,A5)</f>
        <v>63</v>
      </c>
      <c r="I5" s="22">
        <f>SUMIFS('Nhập liệu'!$L$5:$L$200,'Nhập liệu'!$C$5:$C$200,A5)</f>
        <v>476</v>
      </c>
      <c r="J5" s="22">
        <f>SUMIFS('Nhập liệu'!$M$5:$M$200,'Nhập liệu'!$C$5:$C$200,A5)</f>
        <v>2</v>
      </c>
      <c r="K5" s="12">
        <f>IFERROR(E5/D5,0)</f>
        <v>0.687074829931973</v>
      </c>
      <c r="L5" s="6" t="str">
        <f>IF(K5&gt;='Ngưỡng KPI'!$F$7,"Đạt",IF(K5&gt;='Ngưỡng KPI'!$H$7,"Cần theo dõi","Cần xử lý ngay"))</f>
        <v>Cần xử lý ngay</v>
      </c>
      <c r="M5" s="12">
        <f>IFERROR(F5/D5,0)</f>
        <v>0.136054421768707</v>
      </c>
      <c r="N5" s="6" t="str">
        <f>IF(M5&lt;='Ngưỡng KPI'!$F$9,"Đạt",IF(M5&lt;='Ngưỡng KPI'!$H$9,"Cần theo dõi","Cần xử lý ngay"))</f>
        <v>Cần xử lý ngay</v>
      </c>
      <c r="O5" s="12">
        <f>IFERROR(G5/B5,0)</f>
        <v>0.958333333333333</v>
      </c>
      <c r="P5" s="12">
        <f>IFERROR(I5/(B5*C5),0)</f>
        <v>0.9296875</v>
      </c>
      <c r="Q5" s="6" t="str">
        <f>IF(P5&gt;='Ngưỡng KPI'!$F$13,"Đạt",IF(P5&gt;='Ngưỡng KPI'!$H$13,"Cần theo dõi","Cần xử lý ngay"))</f>
        <v>Cần theo dõi</v>
      </c>
      <c r="R5" s="22">
        <f>COUNTIFS('Tính KPI'!$C$5:$C$200,A5,'Tính KPI'!$E$5:$E$200,"Đạt")</f>
        <v>0</v>
      </c>
    </row>
    <row r="6" spans="1:18">
      <c r="A6" s="5" t="s">
        <v>69</v>
      </c>
      <c r="B6" s="22">
        <f>IFERROR(AVERAGEIFS('Nhập liệu'!$E$5:$E$200,'Nhập liệu'!$C$5:$C$200,A6),0)</f>
        <v>10</v>
      </c>
      <c r="C6" s="22">
        <f>SUMIFS('Nhập liệu'!$F$5:$F$200,'Nhập liệu'!$C$5:$C$200,A6)</f>
        <v>64</v>
      </c>
      <c r="D6" s="22">
        <f>SUMIFS('Nhập liệu'!$G$5:$G$200,'Nhập liệu'!$C$5:$C$200,A6)</f>
        <v>206</v>
      </c>
      <c r="E6" s="22">
        <f>SUMIFS('Nhập liệu'!$H$5:$H$200,'Nhập liệu'!$C$5:$C$200,A6)</f>
        <v>180</v>
      </c>
      <c r="F6" s="22">
        <f>SUMIFS('Nhập liệu'!$I$5:$I$200,'Nhập liệu'!$C$5:$C$200,A6)</f>
        <v>7</v>
      </c>
      <c r="G6" s="24">
        <f>IFERROR(AVERAGEIFS('Nhập liệu'!$J$5:$J$200,'Nhập liệu'!$C$5:$C$200,A6),0)</f>
        <v>10</v>
      </c>
      <c r="H6" s="22">
        <f>SUMIFS('Nhập liệu'!$K$5:$K$200,'Nhập liệu'!$C$5:$C$200,A6)</f>
        <v>104</v>
      </c>
      <c r="I6" s="22">
        <f>SUMIFS('Nhập liệu'!$L$5:$L$200,'Nhập liệu'!$C$5:$C$200,A6)</f>
        <v>619</v>
      </c>
      <c r="J6" s="22">
        <f>SUMIFS('Nhập liệu'!$M$5:$M$200,'Nhập liệu'!$C$5:$C$200,A6)</f>
        <v>2</v>
      </c>
      <c r="K6" s="12">
        <f>IFERROR(E6/D6,0)</f>
        <v>0.87378640776699</v>
      </c>
      <c r="L6" s="6" t="str">
        <f>IF(K6&gt;='Ngưỡng KPI'!$F$7,"Đạt",IF(K6&gt;='Ngưỡng KPI'!$H$7,"Cần theo dõi","Cần xử lý ngay"))</f>
        <v>Đạt</v>
      </c>
      <c r="M6" s="12">
        <f>IFERROR(F6/D6,0)</f>
        <v>0.0339805825242718</v>
      </c>
      <c r="N6" s="6" t="str">
        <f>IF(M6&lt;='Ngưỡng KPI'!$F$9,"Đạt",IF(M6&lt;='Ngưỡng KPI'!$H$9,"Cần theo dõi","Cần xử lý ngay"))</f>
        <v>Đạt</v>
      </c>
      <c r="O6" s="12">
        <f>IFERROR(G6/B6,0)</f>
        <v>1</v>
      </c>
      <c r="P6" s="12">
        <f>IFERROR(I6/(B6*C6),0)</f>
        <v>0.9671875</v>
      </c>
      <c r="Q6" s="6" t="str">
        <f>IF(P6&gt;='Ngưỡng KPI'!$F$13,"Đạt",IF(P6&gt;='Ngưỡng KPI'!$H$13,"Cần theo dõi","Cần xử lý ngay"))</f>
        <v>Đạt</v>
      </c>
      <c r="R6" s="22">
        <f>COUNTIFS('Tính KPI'!$C$5:$C$200,A6,'Tính KPI'!$E$5:$E$200,"Đạt")</f>
        <v>3</v>
      </c>
    </row>
    <row r="7" spans="1:18">
      <c r="A7" s="5" t="s">
        <v>70</v>
      </c>
      <c r="B7" s="22">
        <f>IFERROR(AVERAGEIFS('Nhập liệu'!$E$5:$E$200,'Nhập liệu'!$C$5:$C$200,A7),0)</f>
        <v>6</v>
      </c>
      <c r="C7" s="22">
        <f>SUMIFS('Nhập liệu'!$F$5:$F$200,'Nhập liệu'!$C$5:$C$200,A7)</f>
        <v>64</v>
      </c>
      <c r="D7" s="22">
        <f>SUMIFS('Nhập liệu'!$G$5:$G$200,'Nhập liệu'!$C$5:$C$200,A7)</f>
        <v>93</v>
      </c>
      <c r="E7" s="22">
        <f>SUMIFS('Nhập liệu'!$H$5:$H$200,'Nhập liệu'!$C$5:$C$200,A7)</f>
        <v>73</v>
      </c>
      <c r="F7" s="22">
        <f>SUMIFS('Nhập liệu'!$I$5:$I$200,'Nhập liệu'!$C$5:$C$200,A7)</f>
        <v>9</v>
      </c>
      <c r="G7" s="24">
        <f>IFERROR(AVERAGEIFS('Nhập liệu'!$J$5:$J$200,'Nhập liệu'!$C$5:$C$200,A7),0)</f>
        <v>5.66666666666667</v>
      </c>
      <c r="H7" s="22">
        <f>SUMIFS('Nhập liệu'!$K$5:$K$200,'Nhập liệu'!$C$5:$C$200,A7)</f>
        <v>88</v>
      </c>
      <c r="I7" s="22">
        <f>SUMIFS('Nhập liệu'!$L$5:$L$200,'Nhập liệu'!$C$5:$C$200,A7)</f>
        <v>364</v>
      </c>
      <c r="J7" s="22">
        <f>SUMIFS('Nhập liệu'!$M$5:$M$200,'Nhập liệu'!$C$5:$C$200,A7)</f>
        <v>1</v>
      </c>
      <c r="K7" s="12">
        <f>IFERROR(E7/D7,0)</f>
        <v>0.78494623655914</v>
      </c>
      <c r="L7" s="6" t="str">
        <f>IF(K7&gt;='Ngưỡng KPI'!$F$7,"Đạt",IF(K7&gt;='Ngưỡng KPI'!$H$7,"Cần theo dõi","Cần xử lý ngay"))</f>
        <v>Cần theo dõi</v>
      </c>
      <c r="M7" s="12">
        <f>IFERROR(F7/D7,0)</f>
        <v>0.0967741935483871</v>
      </c>
      <c r="N7" s="6" t="str">
        <f>IF(M7&lt;='Ngưỡng KPI'!$F$9,"Đạt",IF(M7&lt;='Ngưỡng KPI'!$H$9,"Cần theo dõi","Cần xử lý ngay"))</f>
        <v>Cần theo dõi</v>
      </c>
      <c r="O7" s="12">
        <f>IFERROR(G7/B7,0)</f>
        <v>0.944444444444445</v>
      </c>
      <c r="P7" s="12">
        <f>IFERROR(I7/(B7*C7),0)</f>
        <v>0.947916666666667</v>
      </c>
      <c r="Q7" s="6" t="str">
        <f>IF(P7&gt;='Ngưỡng KPI'!$F$13,"Đạt",IF(P7&gt;='Ngưỡng KPI'!$H$13,"Cần theo dõi","Cần xử lý ngay"))</f>
        <v>Cần theo dõi</v>
      </c>
      <c r="R7" s="22">
        <f>COUNTIFS('Tính KPI'!$C$5:$C$200,A7,'Tính KPI'!$E$5:$E$200,"Đạt")</f>
        <v>1</v>
      </c>
    </row>
    <row r="8" spans="1:18">
      <c r="A8" s="5" t="s">
        <v>71</v>
      </c>
      <c r="B8" s="22">
        <f>IFERROR(AVERAGEIFS('Nhập liệu'!$E$5:$E$200,'Nhập liệu'!$C$5:$C$200,A8),0)</f>
        <v>4</v>
      </c>
      <c r="C8" s="22">
        <f>SUMIFS('Nhập liệu'!$F$5:$F$200,'Nhập liệu'!$C$5:$C$200,A8)</f>
        <v>64</v>
      </c>
      <c r="D8" s="22">
        <f>SUMIFS('Nhập liệu'!$G$5:$G$200,'Nhập liệu'!$C$5:$C$200,A8)</f>
        <v>60</v>
      </c>
      <c r="E8" s="22">
        <f>SUMIFS('Nhập liệu'!$H$5:$H$200,'Nhập liệu'!$C$5:$C$200,A8)</f>
        <v>53</v>
      </c>
      <c r="F8" s="22">
        <f>SUMIFS('Nhập liệu'!$I$5:$I$200,'Nhập liệu'!$C$5:$C$200,A8)</f>
        <v>2</v>
      </c>
      <c r="G8" s="24">
        <f>IFERROR(AVERAGEIFS('Nhập liệu'!$J$5:$J$200,'Nhập liệu'!$C$5:$C$200,A8),0)</f>
        <v>4</v>
      </c>
      <c r="H8" s="22">
        <f>SUMIFS('Nhập liệu'!$K$5:$K$200,'Nhập liệu'!$C$5:$C$200,A8)</f>
        <v>41</v>
      </c>
      <c r="I8" s="22">
        <f>SUMIFS('Nhập liệu'!$L$5:$L$200,'Nhập liệu'!$C$5:$C$200,A8)</f>
        <v>249</v>
      </c>
      <c r="J8" s="22">
        <f>SUMIFS('Nhập liệu'!$M$5:$M$200,'Nhập liệu'!$C$5:$C$200,A8)</f>
        <v>0</v>
      </c>
      <c r="K8" s="12">
        <f>IFERROR(E8/D8,0)</f>
        <v>0.883333333333333</v>
      </c>
      <c r="L8" s="6" t="str">
        <f>IF(K8&gt;='Ngưỡng KPI'!$F$7,"Đạt",IF(K8&gt;='Ngưỡng KPI'!$H$7,"Cần theo dõi","Cần xử lý ngay"))</f>
        <v>Đạt</v>
      </c>
      <c r="M8" s="12">
        <f>IFERROR(F8/D8,0)</f>
        <v>0.0333333333333333</v>
      </c>
      <c r="N8" s="6" t="str">
        <f>IF(M8&lt;='Ngưỡng KPI'!$F$9,"Đạt",IF(M8&lt;='Ngưỡng KPI'!$H$9,"Cần theo dõi","Cần xử lý ngay"))</f>
        <v>Đạt</v>
      </c>
      <c r="O8" s="12">
        <f>IFERROR(G8/B8,0)</f>
        <v>1</v>
      </c>
      <c r="P8" s="12">
        <f>IFERROR(I8/(B8*C8),0)</f>
        <v>0.97265625</v>
      </c>
      <c r="Q8" s="6" t="str">
        <f>IF(P8&gt;='Ngưỡng KPI'!$F$13,"Đạt",IF(P8&gt;='Ngưỡng KPI'!$H$13,"Cần theo dõi","Cần xử lý ngay"))</f>
        <v>Đạt</v>
      </c>
      <c r="R8" s="22">
        <f>COUNTIFS('Tính KPI'!$C$5:$C$200,A8,'Tính KPI'!$E$5:$E$200,"Đạt")</f>
        <v>3</v>
      </c>
    </row>
    <row r="9" spans="1:18">
      <c r="A9" s="13" t="s">
        <v>72</v>
      </c>
      <c r="B9" s="14">
        <f>SUM(B5:B8)</f>
        <v>28</v>
      </c>
      <c r="C9" s="15">
        <f>IFERROR(SUMPRODUCT(B5:B8,C5:C8)/B9,0)</f>
        <v>64</v>
      </c>
      <c r="D9" s="14">
        <f t="shared" ref="D9:J9" si="0">SUM(D5:D8)</f>
        <v>506</v>
      </c>
      <c r="E9" s="14">
        <f t="shared" si="0"/>
        <v>407</v>
      </c>
      <c r="F9" s="14">
        <f t="shared" si="0"/>
        <v>38</v>
      </c>
      <c r="G9" s="25">
        <f t="shared" si="0"/>
        <v>27.3333333333333</v>
      </c>
      <c r="H9" s="14">
        <f t="shared" si="0"/>
        <v>296</v>
      </c>
      <c r="I9" s="14">
        <f t="shared" si="0"/>
        <v>1708</v>
      </c>
      <c r="J9" s="14">
        <f t="shared" si="0"/>
        <v>5</v>
      </c>
      <c r="K9" s="16">
        <f>IFERROR(E9/D9,0)</f>
        <v>0.804347826086957</v>
      </c>
      <c r="L9" s="26" t="str">
        <f>IF(K9&gt;='Ngưỡng KPI'!$F$7,"Đạt",IF(K9&gt;='Ngưỡng KPI'!$H$7,"Cần theo dõi","Cần xử lý ngay"))</f>
        <v>Đạt</v>
      </c>
      <c r="M9" s="16">
        <f>IFERROR(F9/D9,0)</f>
        <v>0.075098814229249</v>
      </c>
      <c r="N9" s="26" t="str">
        <f>IF(M9&lt;='Ngưỡng KPI'!$F$9,"Đạt",IF(M9&lt;='Ngưỡng KPI'!$H$9,"Cần theo dõi","Cần xử lý ngay"))</f>
        <v>Đạt</v>
      </c>
      <c r="O9" s="16">
        <f>IFERROR(G9/B9,0)</f>
        <v>0.976190476190476</v>
      </c>
      <c r="P9" s="16">
        <f>IFERROR(I9/SUMPRODUCT(B5:B8,C5:C8),0)</f>
        <v>0.953125</v>
      </c>
      <c r="Q9" s="26" t="str">
        <f>IF(P9&gt;='Ngưỡng KPI'!$F$13,"Đạt",IF(P9&gt;='Ngưỡng KPI'!$H$13,"Cần theo dõi","Cần xử lý ngay"))</f>
        <v>Đạt</v>
      </c>
      <c r="R9" s="14">
        <f>COUNTIF(F14:F16,"&gt;="&amp;'Ngưỡng KPI'!$F$7)</f>
        <v>1</v>
      </c>
    </row>
    <row r="10" spans="1:18">
      <c r="A10" s="17" t="s">
        <v>73</v>
      </c>
      <c r="B10" s="17" t="s">
        <v>74</v>
      </c>
    </row>
    <row r="12" spans="1:18">
      <c r="A12" s="23" t="s">
        <v>75</v>
      </c>
    </row>
    <row r="13" ht="32" customHeight="1" spans="1:18">
      <c r="A13" s="3" t="s">
        <v>76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18">
      <c r="A14" s="5" t="s">
        <v>77</v>
      </c>
      <c r="B14" s="12">
        <f>IFERROR(SUMIFS('Nhập liệu'!$H$5:$H$200,'Nhập liệu'!$B$5:$B$200,$A14,'Nhập liệu'!$C$5:$C$200,B$13)/SUMIFS('Nhập liệu'!$G$5:$G$200,'Nhập liệu'!$B$5:$B$200,$A14,'Nhập liệu'!$C$5:$C$200,B$13),0)</f>
        <v>0.652173913043478</v>
      </c>
      <c r="C14" s="12">
        <f>IFERROR(SUMIFS('Nhập liệu'!$H$5:$H$200,'Nhập liệu'!$B$5:$B$200,$A14,'Nhập liệu'!$C$5:$C$200,C$13)/SUMIFS('Nhập liệu'!$G$5:$G$200,'Nhập liệu'!$B$5:$B$200,$A14,'Nhập liệu'!$C$5:$C$200,C$13),0)</f>
        <v>0.859375</v>
      </c>
      <c r="D14" s="12">
        <f>IFERROR(SUMIFS('Nhập liệu'!$H$5:$H$200,'Nhập liệu'!$B$5:$B$200,$A14,'Nhập liệu'!$C$5:$C$200,D$13)/SUMIFS('Nhập liệu'!$G$5:$G$200,'Nhập liệu'!$B$5:$B$200,$A14,'Nhập liệu'!$C$5:$C$200,D$13),0)</f>
        <v>0.785714285714286</v>
      </c>
      <c r="E14" s="12">
        <f>IFERROR(SUMIFS('Nhập liệu'!$H$5:$H$200,'Nhập liệu'!$B$5:$B$200,$A14,'Nhập liệu'!$C$5:$C$200,E$13)/SUMIFS('Nhập liệu'!$G$5:$G$200,'Nhập liệu'!$B$5:$B$200,$A14,'Nhập liệu'!$C$5:$C$200,E$13),0)</f>
        <v>0.888888888888889</v>
      </c>
      <c r="F14" s="27">
        <f>IFERROR(SUMIFS('Nhập liệu'!$H$5:$H$200,'Nhập liệu'!$B$5:$B$200,$A14)/SUMIFS('Nhập liệu'!$G$5:$G$200,'Nhập liệu'!$B$5:$B$200,$A14),0)</f>
        <v>0.788461538461538</v>
      </c>
    </row>
    <row r="15" spans="1:18">
      <c r="A15" s="5" t="s">
        <v>78</v>
      </c>
      <c r="B15" s="12">
        <f>IFERROR(SUMIFS('Nhập liệu'!$H$5:$H$200,'Nhập liệu'!$B$5:$B$200,$A15,'Nhập liệu'!$C$5:$C$200,B$13)/SUMIFS('Nhập liệu'!$G$5:$G$200,'Nhập liệu'!$B$5:$B$200,$A15,'Nhập liệu'!$C$5:$C$200,B$13),0)</f>
        <v>0.673076923076923</v>
      </c>
      <c r="C15" s="12">
        <f>IFERROR(SUMIFS('Nhập liệu'!$H$5:$H$200,'Nhập liệu'!$B$5:$B$200,$A15,'Nhập liệu'!$C$5:$C$200,C$13)/SUMIFS('Nhập liệu'!$G$5:$G$200,'Nhập liệu'!$B$5:$B$200,$A15,'Nhập liệu'!$C$5:$C$200,C$13),0)</f>
        <v>0.871428571428571</v>
      </c>
      <c r="D15" s="12">
        <f>IFERROR(SUMIFS('Nhập liệu'!$H$5:$H$200,'Nhập liệu'!$B$5:$B$200,$A15,'Nhập liệu'!$C$5:$C$200,D$13)/SUMIFS('Nhập liệu'!$G$5:$G$200,'Nhập liệu'!$B$5:$B$200,$A15,'Nhập liệu'!$C$5:$C$200,D$13),0)</f>
        <v>0.764705882352941</v>
      </c>
      <c r="E15" s="12">
        <f>IFERROR(SUMIFS('Nhập liệu'!$H$5:$H$200,'Nhập liệu'!$B$5:$B$200,$A15,'Nhập liệu'!$C$5:$C$200,E$13)/SUMIFS('Nhập liệu'!$G$5:$G$200,'Nhập liệu'!$B$5:$B$200,$A15,'Nhập liệu'!$C$5:$C$200,E$13),0)</f>
        <v>0.85</v>
      </c>
      <c r="F15" s="27">
        <f>IFERROR(SUMIFS('Nhập liệu'!$H$5:$H$200,'Nhập liệu'!$B$5:$B$200,$A15)/SUMIFS('Nhập liệu'!$G$5:$G$200,'Nhập liệu'!$B$5:$B$200,$A15),0)</f>
        <v>0.789772727272727</v>
      </c>
    </row>
    <row r="16" spans="1:18">
      <c r="A16" s="5" t="s">
        <v>79</v>
      </c>
      <c r="B16" s="12">
        <f>IFERROR(SUMIFS('Nhập liệu'!$H$5:$H$200,'Nhập liệu'!$B$5:$B$200,$A16,'Nhập liệu'!$C$5:$C$200,B$13)/SUMIFS('Nhập liệu'!$G$5:$G$200,'Nhập liệu'!$B$5:$B$200,$A16,'Nhập liệu'!$C$5:$C$200,B$13),0)</f>
        <v>0.73469387755102</v>
      </c>
      <c r="C16" s="12">
        <f>IFERROR(SUMIFS('Nhập liệu'!$H$5:$H$200,'Nhập liệu'!$B$5:$B$200,$A16,'Nhập liệu'!$C$5:$C$200,C$13)/SUMIFS('Nhập liệu'!$G$5:$G$200,'Nhập liệu'!$B$5:$B$200,$A16,'Nhập liệu'!$C$5:$C$200,C$13),0)</f>
        <v>0.888888888888889</v>
      </c>
      <c r="D16" s="12">
        <f>IFERROR(SUMIFS('Nhập liệu'!$H$5:$H$200,'Nhập liệu'!$B$5:$B$200,$A16,'Nhập liệu'!$C$5:$C$200,D$13)/SUMIFS('Nhập liệu'!$G$5:$G$200,'Nhập liệu'!$B$5:$B$200,$A16,'Nhập liệu'!$C$5:$C$200,D$13),0)</f>
        <v>0.806451612903226</v>
      </c>
      <c r="E16" s="12">
        <f>IFERROR(SUMIFS('Nhập liệu'!$H$5:$H$200,'Nhập liệu'!$B$5:$B$200,$A16,'Nhập liệu'!$C$5:$C$200,E$13)/SUMIFS('Nhập liệu'!$G$5:$G$200,'Nhập liệu'!$B$5:$B$200,$A16,'Nhập liệu'!$C$5:$C$200,E$13),0)</f>
        <v>0.909090909090909</v>
      </c>
      <c r="F16" s="27">
        <f>IFERROR(SUMIFS('Nhập liệu'!$H$5:$H$200,'Nhập liệu'!$B$5:$B$200,$A16)/SUMIFS('Nhập liệu'!$G$5:$G$200,'Nhập liệu'!$B$5:$B$200,$A16),0)</f>
        <v>0.833333333333333</v>
      </c>
    </row>
    <row r="17" spans="1:6">
      <c r="A17" s="28" t="s">
        <v>80</v>
      </c>
      <c r="B17" s="29">
        <f>'Ngưỡng KPI'!$F$7</f>
        <v>0.8</v>
      </c>
      <c r="C17" s="29">
        <f>'Ngưỡng KPI'!$F$7</f>
        <v>0.8</v>
      </c>
      <c r="D17" s="29">
        <f>'Ngưỡng KPI'!$F$7</f>
        <v>0.8</v>
      </c>
      <c r="E17" s="29">
        <f>'Ngưỡng KPI'!$F$7</f>
        <v>0.8</v>
      </c>
      <c r="F17" s="29">
        <f>'Ngưỡng KPI'!$F$7</f>
        <v>0.8</v>
      </c>
    </row>
  </sheetData>
  <conditionalFormatting sqref="L5:L9">
    <cfRule type="cellIs" dxfId="0" priority="1" operator="equal">
      <formula>"Đạt"</formula>
    </cfRule>
    <cfRule type="cellIs" dxfId="1" priority="2" operator="equal">
      <formula>"Cần theo dõi"</formula>
    </cfRule>
    <cfRule type="cellIs" dxfId="2" priority="3" operator="equal">
      <formula>"Cần xử lý ngay"</formula>
    </cfRule>
  </conditionalFormatting>
  <conditionalFormatting sqref="N5:N9">
    <cfRule type="cellIs" dxfId="0" priority="4" operator="equal">
      <formula>"Đạt"</formula>
    </cfRule>
    <cfRule type="cellIs" dxfId="1" priority="5" operator="equal">
      <formula>"Cần theo dõi"</formula>
    </cfRule>
    <cfRule type="cellIs" dxfId="2" priority="6" operator="equal">
      <formula>"Cần xử lý ngay"</formula>
    </cfRule>
  </conditionalFormatting>
  <conditionalFormatting sqref="Q5:Q9">
    <cfRule type="cellIs" dxfId="0" priority="7" operator="equal">
      <formula>"Đạt"</formula>
    </cfRule>
    <cfRule type="cellIs" dxfId="1" priority="8" operator="equal">
      <formula>"Cần theo dõi"</formula>
    </cfRule>
    <cfRule type="cellIs" dxfId="2" priority="9" operator="equal">
      <formula>"Cần xử lý ngay"</formula>
    </cfRule>
  </conditionalFormatting>
  <pageMargins left="0.75" right="0.75" top="1" bottom="1" header="0.5" footer="0.5"/>
  <pageSetup paperSize="1" fitToHeight="0" orientation="landscape"/>
  <headerFooter>
    <oddFooter>&amp;C&amp;"Arial"&amp;8 Tài liệu nội bộ — Công ty Demo SME — dùng cho mục đích minh hoạ đồ án&amp;R&amp;"Arial"&amp;8 Trang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0" customWidth="1"/>
    <col min="2" max="3" width="14" customWidth="1"/>
    <col min="4" max="4" width="12" customWidth="1"/>
    <col min="5" max="5" width="13" customWidth="1"/>
    <col min="6" max="6" width="11" customWidth="1"/>
    <col min="7" max="9" width="13" customWidth="1"/>
    <col min="10" max="10" width="11" customWidth="1"/>
    <col min="11" max="11" width="13" customWidth="1"/>
    <col min="12" max="12" width="10" customWidth="1"/>
    <col min="13" max="13" width="12" customWidth="1"/>
    <col min="14" max="14" width="10" customWidth="1"/>
  </cols>
  <sheetData>
    <row r="1" ht="22" customHeight="1" spans="1:14">
      <c r="A1" s="1" t="s">
        <v>81</v>
      </c>
    </row>
    <row r="2" spans="1:14">
      <c r="A2" s="2" t="s">
        <v>82</v>
      </c>
    </row>
    <row r="4" ht="44" customHeight="1" spans="1:14">
      <c r="A4" s="3" t="s">
        <v>83</v>
      </c>
      <c r="B4" s="3" t="s">
        <v>76</v>
      </c>
      <c r="C4" s="3" t="s">
        <v>52</v>
      </c>
      <c r="D4" s="3" t="s">
        <v>62</v>
      </c>
      <c r="E4" s="3" t="s">
        <v>63</v>
      </c>
      <c r="F4" s="3" t="s">
        <v>64</v>
      </c>
      <c r="G4" s="3" t="s">
        <v>63</v>
      </c>
      <c r="H4" s="3" t="s">
        <v>65</v>
      </c>
      <c r="I4" s="3" t="s">
        <v>63</v>
      </c>
      <c r="J4" s="3" t="s">
        <v>66</v>
      </c>
      <c r="K4" s="3" t="s">
        <v>63</v>
      </c>
      <c r="L4" s="3" t="s">
        <v>59</v>
      </c>
      <c r="M4" s="3" t="s">
        <v>61</v>
      </c>
      <c r="N4" s="3" t="s">
        <v>84</v>
      </c>
    </row>
    <row r="5" spans="1:14">
      <c r="A5" s="19" t="str">
        <f>'Nhập liệu'!A5</f>
        <v>2026-07</v>
      </c>
      <c r="B5" s="19" t="str">
        <f>'Nhập liệu'!B5</f>
        <v>Tháng 7/2026</v>
      </c>
      <c r="C5" s="20" t="str">
        <f>'Nhập liệu'!C5</f>
        <v>Kinh doanh</v>
      </c>
      <c r="D5" s="12">
        <f>IFERROR('Nhập liệu'!H5/'Nhập liệu'!G5,0)</f>
        <v>0.652173913043478</v>
      </c>
      <c r="E5" s="6" t="str">
        <f>IF(D5&gt;='Ngưỡng KPI'!$F$7,"Đạt",IF(D5&gt;='Ngưỡng KPI'!$H$7,"Cần theo dõi","Cần xử lý ngay"))</f>
        <v>Cần xử lý ngay</v>
      </c>
      <c r="F5" s="12">
        <f>IFERROR('Nhập liệu'!I5/'Nhập liệu'!G5,0)</f>
        <v>0.152173913043478</v>
      </c>
      <c r="G5" s="6" t="str">
        <f>IF(F5&lt;='Ngưỡng KPI'!$F$9,"Đạt",IF(F5&lt;='Ngưỡng KPI'!$H$9,"Cần theo dõi","Cần xử lý ngay"))</f>
        <v>Cần xử lý ngay</v>
      </c>
      <c r="H5" s="12">
        <f>IFERROR('Nhập liệu'!J5/'Nhập liệu'!E5,0)</f>
        <v>0.875</v>
      </c>
      <c r="I5" s="6" t="str">
        <f>IF(H5&gt;='Ngưỡng KPI'!$F$11,"Đạt",IF(H5&gt;='Ngưỡng KPI'!$H$11,"Cần theo dõi","Cần xử lý ngay"))</f>
        <v>Cần theo dõi</v>
      </c>
      <c r="J5" s="12">
        <f>IFERROR('Nhập liệu'!L5/('Nhập liệu'!E5*'Nhập liệu'!F5),0)</f>
        <v>0.929347826086957</v>
      </c>
      <c r="K5" s="6" t="str">
        <f>IF(J5&gt;='Ngưỡng KPI'!$F$13,"Đạt",IF(J5&gt;='Ngưỡng KPI'!$H$13,"Cần theo dõi","Cần xử lý ngay"))</f>
        <v>Cần theo dõi</v>
      </c>
      <c r="L5" s="21">
        <f>'Nhập liệu'!K5</f>
        <v>18</v>
      </c>
      <c r="M5" s="21">
        <f>'Nhập liệu'!M5</f>
        <v>1</v>
      </c>
      <c r="N5" s="22">
        <f t="shared" ref="N5:N16" si="0">COUNTIF(E5,"Đạt")+COUNTIF(G5,"Đạt")+COUNTIF(I5,"Đạt")+COUNTIF(K5,"Đạt")</f>
        <v>0</v>
      </c>
    </row>
    <row r="6" spans="1:14">
      <c r="A6" s="19" t="str">
        <f>'Nhập liệu'!A6</f>
        <v>2026-07</v>
      </c>
      <c r="B6" s="19" t="str">
        <f>'Nhập liệu'!B6</f>
        <v>Tháng 7/2026</v>
      </c>
      <c r="C6" s="20" t="str">
        <f>'Nhập liệu'!C6</f>
        <v>Kỹ thuật</v>
      </c>
      <c r="D6" s="12">
        <f>IFERROR('Nhập liệu'!H6/'Nhập liệu'!G6,0)</f>
        <v>0.859375</v>
      </c>
      <c r="E6" s="6" t="str">
        <f>IF(D6&gt;='Ngưỡng KPI'!$F$7,"Đạt",IF(D6&gt;='Ngưỡng KPI'!$H$7,"Cần theo dõi","Cần xử lý ngay"))</f>
        <v>Đạt</v>
      </c>
      <c r="F6" s="12">
        <f>IFERROR('Nhập liệu'!I6/'Nhập liệu'!G6,0)</f>
        <v>0.046875</v>
      </c>
      <c r="G6" s="6" t="str">
        <f>IF(F6&lt;='Ngưỡng KPI'!$F$9,"Đạt",IF(F6&lt;='Ngưỡng KPI'!$H$9,"Cần theo dõi","Cần xử lý ngay"))</f>
        <v>Đạt</v>
      </c>
      <c r="H6" s="12">
        <f>IFERROR('Nhập liệu'!J6/'Nhập liệu'!E6,0)</f>
        <v>1</v>
      </c>
      <c r="I6" s="6" t="str">
        <f>IF(H6&gt;='Ngưỡng KPI'!$F$11,"Đạt",IF(H6&gt;='Ngưỡng KPI'!$H$11,"Cần theo dõi","Cần xử lý ngay"))</f>
        <v>Đạt</v>
      </c>
      <c r="J6" s="12">
        <f>IFERROR('Nhập liệu'!L6/('Nhập liệu'!E6*'Nhập liệu'!F6),0)</f>
        <v>0.969565217391304</v>
      </c>
      <c r="K6" s="6" t="str">
        <f>IF(J6&gt;='Ngưỡng KPI'!$F$13,"Đạt",IF(J6&gt;='Ngưỡng KPI'!$H$13,"Cần theo dõi","Cần xử lý ngay"))</f>
        <v>Đạt</v>
      </c>
      <c r="L6" s="21">
        <f>'Nhập liệu'!K6</f>
        <v>31</v>
      </c>
      <c r="M6" s="21">
        <f>'Nhập liệu'!M6</f>
        <v>1</v>
      </c>
      <c r="N6" s="22">
        <f t="shared" si="0"/>
        <v>4</v>
      </c>
    </row>
    <row r="7" spans="1:14">
      <c r="A7" s="19" t="str">
        <f>'Nhập liệu'!A7</f>
        <v>2026-07</v>
      </c>
      <c r="B7" s="19" t="str">
        <f>'Nhập liệu'!B7</f>
        <v>Tháng 7/2026</v>
      </c>
      <c r="C7" s="20" t="str">
        <f>'Nhập liệu'!C7</f>
        <v>Marketing</v>
      </c>
      <c r="D7" s="12">
        <f>IFERROR('Nhập liệu'!H7/'Nhập liệu'!G7,0)</f>
        <v>0.785714285714286</v>
      </c>
      <c r="E7" s="6" t="str">
        <f>IF(D7&gt;='Ngưỡng KPI'!$F$7,"Đạt",IF(D7&gt;='Ngưỡng KPI'!$H$7,"Cần theo dõi","Cần xử lý ngay"))</f>
        <v>Cần theo dõi</v>
      </c>
      <c r="F7" s="12">
        <f>IFERROR('Nhập liệu'!I7/'Nhập liệu'!G7,0)</f>
        <v>0.107142857142857</v>
      </c>
      <c r="G7" s="6" t="str">
        <f>IF(F7&lt;='Ngưỡng KPI'!$F$9,"Đạt",IF(F7&lt;='Ngưỡng KPI'!$H$9,"Cần theo dõi","Cần xử lý ngay"))</f>
        <v>Cần theo dõi</v>
      </c>
      <c r="H7" s="12">
        <f>IFERROR('Nhập liệu'!J7/'Nhập liệu'!E7,0)</f>
        <v>0.833333333333333</v>
      </c>
      <c r="I7" s="6" t="str">
        <f>IF(H7&gt;='Ngưỡng KPI'!$F$11,"Đạt",IF(H7&gt;='Ngưỡng KPI'!$H$11,"Cần theo dõi","Cần xử lý ngay"))</f>
        <v>Cần xử lý ngay</v>
      </c>
      <c r="J7" s="12">
        <f>IFERROR('Nhập liệu'!L7/('Nhập liệu'!E7*'Nhập liệu'!F7),0)</f>
        <v>0.949275362318841</v>
      </c>
      <c r="K7" s="6" t="str">
        <f>IF(J7&gt;='Ngưỡng KPI'!$F$13,"Đạt",IF(J7&gt;='Ngưỡng KPI'!$H$13,"Cần theo dõi","Cần xử lý ngay"))</f>
        <v>Cần theo dõi</v>
      </c>
      <c r="L7" s="21">
        <f>'Nhập liệu'!K7</f>
        <v>26</v>
      </c>
      <c r="M7" s="21">
        <f>'Nhập liệu'!M7</f>
        <v>0</v>
      </c>
      <c r="N7" s="22">
        <f t="shared" si="0"/>
        <v>0</v>
      </c>
    </row>
    <row r="8" spans="1:14">
      <c r="A8" s="19" t="str">
        <f>'Nhập liệu'!A8</f>
        <v>2026-07</v>
      </c>
      <c r="B8" s="19" t="str">
        <f>'Nhập liệu'!B8</f>
        <v>Tháng 7/2026</v>
      </c>
      <c r="C8" s="20" t="str">
        <f>'Nhập liệu'!C8</f>
        <v>Nhân sự</v>
      </c>
      <c r="D8" s="12">
        <f>IFERROR('Nhập liệu'!H8/'Nhập liệu'!G8,0)</f>
        <v>0.888888888888889</v>
      </c>
      <c r="E8" s="6" t="str">
        <f>IF(D8&gt;='Ngưỡng KPI'!$F$7,"Đạt",IF(D8&gt;='Ngưỡng KPI'!$H$7,"Cần theo dõi","Cần xử lý ngay"))</f>
        <v>Đạt</v>
      </c>
      <c r="F8" s="12">
        <f>IFERROR('Nhập liệu'!I8/'Nhập liệu'!G8,0)</f>
        <v>0.0555555555555556</v>
      </c>
      <c r="G8" s="6" t="str">
        <f>IF(F8&lt;='Ngưỡng KPI'!$F$9,"Đạt",IF(F8&lt;='Ngưỡng KPI'!$H$9,"Cần theo dõi","Cần xử lý ngay"))</f>
        <v>Đạt</v>
      </c>
      <c r="H8" s="12">
        <f>IFERROR('Nhập liệu'!J8/'Nhập liệu'!E8,0)</f>
        <v>1</v>
      </c>
      <c r="I8" s="6" t="str">
        <f>IF(H8&gt;='Ngưỡng KPI'!$F$11,"Đạt",IF(H8&gt;='Ngưỡng KPI'!$H$11,"Cần theo dõi","Cần xử lý ngay"))</f>
        <v>Đạt</v>
      </c>
      <c r="J8" s="12">
        <f>IFERROR('Nhập liệu'!L8/('Nhập liệu'!E8*'Nhập liệu'!F8),0)</f>
        <v>0.978260869565217</v>
      </c>
      <c r="K8" s="6" t="str">
        <f>IF(J8&gt;='Ngưỡng KPI'!$F$13,"Đạt",IF(J8&gt;='Ngưỡng KPI'!$H$13,"Cần theo dõi","Cần xử lý ngay"))</f>
        <v>Đạt</v>
      </c>
      <c r="L8" s="21">
        <f>'Nhập liệu'!K8</f>
        <v>14</v>
      </c>
      <c r="M8" s="21">
        <f>'Nhập liệu'!M8</f>
        <v>0</v>
      </c>
      <c r="N8" s="22">
        <f t="shared" si="0"/>
        <v>4</v>
      </c>
    </row>
    <row r="9" spans="1:14">
      <c r="A9" s="19" t="str">
        <f>'Nhập liệu'!A9</f>
        <v>2026-08</v>
      </c>
      <c r="B9" s="19" t="str">
        <f>'Nhập liệu'!B9</f>
        <v>Tháng 8/2026</v>
      </c>
      <c r="C9" s="20" t="str">
        <f>'Nhập liệu'!C9</f>
        <v>Kinh doanh</v>
      </c>
      <c r="D9" s="12">
        <f>IFERROR('Nhập liệu'!H9/'Nhập liệu'!G9,0)</f>
        <v>0.673076923076923</v>
      </c>
      <c r="E9" s="6" t="str">
        <f>IF(D9&gt;='Ngưỡng KPI'!$F$7,"Đạt",IF(D9&gt;='Ngưỡng KPI'!$H$7,"Cần theo dõi","Cần xử lý ngay"))</f>
        <v>Cần xử lý ngay</v>
      </c>
      <c r="F9" s="12">
        <f>IFERROR('Nhập liệu'!I9/'Nhập liệu'!G9,0)</f>
        <v>0.153846153846154</v>
      </c>
      <c r="G9" s="6" t="str">
        <f>IF(F9&lt;='Ngưỡng KPI'!$F$9,"Đạt",IF(F9&lt;='Ngưỡng KPI'!$H$9,"Cần theo dõi","Cần xử lý ngay"))</f>
        <v>Cần xử lý ngay</v>
      </c>
      <c r="H9" s="12">
        <f>IFERROR('Nhập liệu'!J9/'Nhập liệu'!E9,0)</f>
        <v>1</v>
      </c>
      <c r="I9" s="6" t="str">
        <f>IF(H9&gt;='Ngưỡng KPI'!$F$11,"Đạt",IF(H9&gt;='Ngưỡng KPI'!$H$11,"Cần theo dõi","Cần xử lý ngay"))</f>
        <v>Đạt</v>
      </c>
      <c r="J9" s="12">
        <f>IFERROR('Nhập liệu'!L9/('Nhập liệu'!E9*'Nhập liệu'!F9),0)</f>
        <v>0.922619047619048</v>
      </c>
      <c r="K9" s="6" t="str">
        <f>IF(J9&gt;='Ngưỡng KPI'!$F$13,"Đạt",IF(J9&gt;='Ngưỡng KPI'!$H$13,"Cần theo dõi","Cần xử lý ngay"))</f>
        <v>Cần theo dõi</v>
      </c>
      <c r="L9" s="21">
        <f>'Nhập liệu'!K9</f>
        <v>21</v>
      </c>
      <c r="M9" s="21">
        <f>'Nhập liệu'!M9</f>
        <v>1</v>
      </c>
      <c r="N9" s="22">
        <f t="shared" si="0"/>
        <v>1</v>
      </c>
    </row>
    <row r="10" spans="1:14">
      <c r="A10" s="19" t="str">
        <f>'Nhập liệu'!A10</f>
        <v>2026-08</v>
      </c>
      <c r="B10" s="19" t="str">
        <f>'Nhập liệu'!B10</f>
        <v>Tháng 8/2026</v>
      </c>
      <c r="C10" s="20" t="str">
        <f>'Nhập liệu'!C10</f>
        <v>Kỹ thuật</v>
      </c>
      <c r="D10" s="12">
        <f>IFERROR('Nhập liệu'!H10/'Nhập liệu'!G10,0)</f>
        <v>0.871428571428571</v>
      </c>
      <c r="E10" s="6" t="str">
        <f>IF(D10&gt;='Ngưỡng KPI'!$F$7,"Đạt",IF(D10&gt;='Ngưỡng KPI'!$H$7,"Cần theo dõi","Cần xử lý ngay"))</f>
        <v>Đạt</v>
      </c>
      <c r="F10" s="12">
        <f>IFERROR('Nhập liệu'!I10/'Nhập liệu'!G10,0)</f>
        <v>0.0285714285714286</v>
      </c>
      <c r="G10" s="6" t="str">
        <f>IF(F10&lt;='Ngưỡng KPI'!$F$9,"Đạt",IF(F10&lt;='Ngưỡng KPI'!$H$9,"Cần theo dõi","Cần xử lý ngay"))</f>
        <v>Đạt</v>
      </c>
      <c r="H10" s="12">
        <f>IFERROR('Nhập liệu'!J10/'Nhập liệu'!E10,0)</f>
        <v>1</v>
      </c>
      <c r="I10" s="6" t="str">
        <f>IF(H10&gt;='Ngưỡng KPI'!$F$11,"Đạt",IF(H10&gt;='Ngưỡng KPI'!$H$11,"Cần theo dõi","Cần xử lý ngay"))</f>
        <v>Đạt</v>
      </c>
      <c r="J10" s="12">
        <f>IFERROR('Nhập liệu'!L10/('Nhập liệu'!E10*'Nhập liệu'!F10),0)</f>
        <v>0.961904761904762</v>
      </c>
      <c r="K10" s="6" t="str">
        <f>IF(J10&gt;='Ngưỡng KPI'!$F$13,"Đạt",IF(J10&gt;='Ngưỡng KPI'!$H$13,"Cần theo dõi","Cần xử lý ngay"))</f>
        <v>Đạt</v>
      </c>
      <c r="L10" s="21">
        <f>'Nhập liệu'!K10</f>
        <v>35</v>
      </c>
      <c r="M10" s="21">
        <f>'Nhập liệu'!M10</f>
        <v>0</v>
      </c>
      <c r="N10" s="22">
        <f t="shared" si="0"/>
        <v>4</v>
      </c>
    </row>
    <row r="11" spans="1:14">
      <c r="A11" s="19" t="str">
        <f>'Nhập liệu'!A11</f>
        <v>2026-08</v>
      </c>
      <c r="B11" s="19" t="str">
        <f>'Nhập liệu'!B11</f>
        <v>Tháng 8/2026</v>
      </c>
      <c r="C11" s="20" t="str">
        <f>'Nhập liệu'!C11</f>
        <v>Marketing</v>
      </c>
      <c r="D11" s="12">
        <f>IFERROR('Nhập liệu'!H11/'Nhập liệu'!G11,0)</f>
        <v>0.764705882352941</v>
      </c>
      <c r="E11" s="6" t="str">
        <f>IF(D11&gt;='Ngưỡng KPI'!$F$7,"Đạt",IF(D11&gt;='Ngưỡng KPI'!$H$7,"Cần theo dõi","Cần xử lý ngay"))</f>
        <v>Cần theo dõi</v>
      </c>
      <c r="F11" s="12">
        <f>IFERROR('Nhập liệu'!I11/'Nhập liệu'!G11,0)</f>
        <v>0.117647058823529</v>
      </c>
      <c r="G11" s="6" t="str">
        <f>IF(F11&lt;='Ngưỡng KPI'!$F$9,"Đạt",IF(F11&lt;='Ngưỡng KPI'!$H$9,"Cần theo dõi","Cần xử lý ngay"))</f>
        <v>Cần theo dõi</v>
      </c>
      <c r="H11" s="12">
        <f>IFERROR('Nhập liệu'!J11/'Nhập liệu'!E11,0)</f>
        <v>1</v>
      </c>
      <c r="I11" s="6" t="str">
        <f>IF(H11&gt;='Ngưỡng KPI'!$F$11,"Đạt",IF(H11&gt;='Ngưỡng KPI'!$H$11,"Cần theo dõi","Cần xử lý ngay"))</f>
        <v>Đạt</v>
      </c>
      <c r="J11" s="12">
        <f>IFERROR('Nhập liệu'!L11/('Nhập liệu'!E11*'Nhập liệu'!F11),0)</f>
        <v>0.936507936507937</v>
      </c>
      <c r="K11" s="6" t="str">
        <f>IF(J11&gt;='Ngưỡng KPI'!$F$13,"Đạt",IF(J11&gt;='Ngưỡng KPI'!$H$13,"Cần theo dõi","Cần xử lý ngay"))</f>
        <v>Cần theo dõi</v>
      </c>
      <c r="L11" s="21">
        <f>'Nhập liệu'!K11</f>
        <v>29</v>
      </c>
      <c r="M11" s="21">
        <f>'Nhập liệu'!M11</f>
        <v>1</v>
      </c>
      <c r="N11" s="22">
        <f t="shared" si="0"/>
        <v>1</v>
      </c>
    </row>
    <row r="12" spans="1:14">
      <c r="A12" s="19" t="str">
        <f>'Nhập liệu'!A12</f>
        <v>2026-08</v>
      </c>
      <c r="B12" s="19" t="str">
        <f>'Nhập liệu'!B12</f>
        <v>Tháng 8/2026</v>
      </c>
      <c r="C12" s="20" t="str">
        <f>'Nhập liệu'!C12</f>
        <v>Nhân sự</v>
      </c>
      <c r="D12" s="12">
        <f>IFERROR('Nhập liệu'!H12/'Nhập liệu'!G12,0)</f>
        <v>0.85</v>
      </c>
      <c r="E12" s="6" t="str">
        <f>IF(D12&gt;='Ngưỡng KPI'!$F$7,"Đạt",IF(D12&gt;='Ngưỡng KPI'!$H$7,"Cần theo dõi","Cần xử lý ngay"))</f>
        <v>Đạt</v>
      </c>
      <c r="F12" s="12">
        <f>IFERROR('Nhập liệu'!I12/'Nhập liệu'!G12,0)</f>
        <v>0.05</v>
      </c>
      <c r="G12" s="6" t="str">
        <f>IF(F12&lt;='Ngưỡng KPI'!$F$9,"Đạt",IF(F12&lt;='Ngưỡng KPI'!$H$9,"Cần theo dõi","Cần xử lý ngay"))</f>
        <v>Đạt</v>
      </c>
      <c r="H12" s="12">
        <f>IFERROR('Nhập liệu'!J12/'Nhập liệu'!E12,0)</f>
        <v>1</v>
      </c>
      <c r="I12" s="6" t="str">
        <f>IF(H12&gt;='Ngưỡng KPI'!$F$11,"Đạt",IF(H12&gt;='Ngưỡng KPI'!$H$11,"Cần theo dõi","Cần xử lý ngay"))</f>
        <v>Đạt</v>
      </c>
      <c r="J12" s="12">
        <f>IFERROR('Nhập liệu'!L12/('Nhập liệu'!E12*'Nhập liệu'!F12),0)</f>
        <v>0.964285714285714</v>
      </c>
      <c r="K12" s="6" t="str">
        <f>IF(J12&gt;='Ngưỡng KPI'!$F$13,"Đạt",IF(J12&gt;='Ngưỡng KPI'!$H$13,"Cần theo dõi","Cần xử lý ngay"))</f>
        <v>Đạt</v>
      </c>
      <c r="L12" s="21">
        <f>'Nhập liệu'!K12</f>
        <v>12</v>
      </c>
      <c r="M12" s="21">
        <f>'Nhập liệu'!M12</f>
        <v>0</v>
      </c>
      <c r="N12" s="22">
        <f t="shared" si="0"/>
        <v>4</v>
      </c>
    </row>
    <row r="13" spans="1:14">
      <c r="A13" s="19" t="str">
        <f>'Nhập liệu'!A13</f>
        <v>2026-09</v>
      </c>
      <c r="B13" s="19" t="str">
        <f>'Nhập liệu'!B13</f>
        <v>Tháng 9/2026</v>
      </c>
      <c r="C13" s="20" t="str">
        <f>'Nhập liệu'!C13</f>
        <v>Kinh doanh</v>
      </c>
      <c r="D13" s="12">
        <f>IFERROR('Nhập liệu'!H13/'Nhập liệu'!G13,0)</f>
        <v>0.73469387755102</v>
      </c>
      <c r="E13" s="6" t="str">
        <f>IF(D13&gt;='Ngưỡng KPI'!$F$7,"Đạt",IF(D13&gt;='Ngưỡng KPI'!$H$7,"Cần theo dõi","Cần xử lý ngay"))</f>
        <v>Cần theo dõi</v>
      </c>
      <c r="F13" s="12">
        <f>IFERROR('Nhập liệu'!I13/'Nhập liệu'!G13,0)</f>
        <v>0.102040816326531</v>
      </c>
      <c r="G13" s="6" t="str">
        <f>IF(F13&lt;='Ngưỡng KPI'!$F$9,"Đạt",IF(F13&lt;='Ngưỡng KPI'!$H$9,"Cần theo dõi","Cần xử lý ngay"))</f>
        <v>Cần theo dõi</v>
      </c>
      <c r="H13" s="12">
        <f>IFERROR('Nhập liệu'!J13/'Nhập liệu'!E13,0)</f>
        <v>1</v>
      </c>
      <c r="I13" s="6" t="str">
        <f>IF(H13&gt;='Ngưỡng KPI'!$F$11,"Đạt",IF(H13&gt;='Ngưỡng KPI'!$H$11,"Cần theo dõi","Cần xử lý ngay"))</f>
        <v>Đạt</v>
      </c>
      <c r="J13" s="12">
        <f>IFERROR('Nhập liệu'!L13/('Nhập liệu'!E13*'Nhập liệu'!F13),0)</f>
        <v>0.9375</v>
      </c>
      <c r="K13" s="6" t="str">
        <f>IF(J13&gt;='Ngưỡng KPI'!$F$13,"Đạt",IF(J13&gt;='Ngưỡng KPI'!$H$13,"Cần theo dõi","Cần xử lý ngay"))</f>
        <v>Cần theo dõi</v>
      </c>
      <c r="L13" s="21">
        <f>'Nhập liệu'!K13</f>
        <v>24</v>
      </c>
      <c r="M13" s="21">
        <f>'Nhập liệu'!M13</f>
        <v>0</v>
      </c>
      <c r="N13" s="22">
        <f t="shared" si="0"/>
        <v>1</v>
      </c>
    </row>
    <row r="14" spans="1:14">
      <c r="A14" s="19" t="str">
        <f>'Nhập liệu'!A14</f>
        <v>2026-09</v>
      </c>
      <c r="B14" s="19" t="str">
        <f>'Nhập liệu'!B14</f>
        <v>Tháng 9/2026</v>
      </c>
      <c r="C14" s="20" t="str">
        <f>'Nhập liệu'!C14</f>
        <v>Kỹ thuật</v>
      </c>
      <c r="D14" s="12">
        <f>IFERROR('Nhập liệu'!H14/'Nhập liệu'!G14,0)</f>
        <v>0.888888888888889</v>
      </c>
      <c r="E14" s="6" t="str">
        <f>IF(D14&gt;='Ngưỡng KPI'!$F$7,"Đạt",IF(D14&gt;='Ngưỡng KPI'!$H$7,"Cần theo dõi","Cần xử lý ngay"))</f>
        <v>Đạt</v>
      </c>
      <c r="F14" s="12">
        <f>IFERROR('Nhập liệu'!I14/'Nhập liệu'!G14,0)</f>
        <v>0.0277777777777778</v>
      </c>
      <c r="G14" s="6" t="str">
        <f>IF(F14&lt;='Ngưỡng KPI'!$F$9,"Đạt",IF(F14&lt;='Ngưỡng KPI'!$H$9,"Cần theo dõi","Cần xử lý ngay"))</f>
        <v>Đạt</v>
      </c>
      <c r="H14" s="12">
        <f>IFERROR('Nhập liệu'!J14/'Nhập liệu'!E14,0)</f>
        <v>1</v>
      </c>
      <c r="I14" s="6" t="str">
        <f>IF(H14&gt;='Ngưỡng KPI'!$F$11,"Đạt",IF(H14&gt;='Ngưỡng KPI'!$H$11,"Cần theo dõi","Cần xử lý ngay"))</f>
        <v>Đạt</v>
      </c>
      <c r="J14" s="12">
        <f>IFERROR('Nhập liệu'!L14/('Nhập liệu'!E14*'Nhập liệu'!F14),0)</f>
        <v>0.97</v>
      </c>
      <c r="K14" s="6" t="str">
        <f>IF(J14&gt;='Ngưỡng KPI'!$F$13,"Đạt",IF(J14&gt;='Ngưỡng KPI'!$H$13,"Cần theo dõi","Cần xử lý ngay"))</f>
        <v>Đạt</v>
      </c>
      <c r="L14" s="21">
        <f>'Nhập liệu'!K14</f>
        <v>38</v>
      </c>
      <c r="M14" s="21">
        <f>'Nhập liệu'!M14</f>
        <v>1</v>
      </c>
      <c r="N14" s="22">
        <f t="shared" si="0"/>
        <v>4</v>
      </c>
    </row>
    <row r="15" spans="1:14">
      <c r="A15" s="19" t="str">
        <f>'Nhập liệu'!A15</f>
        <v>2026-09</v>
      </c>
      <c r="B15" s="19" t="str">
        <f>'Nhập liệu'!B15</f>
        <v>Tháng 9/2026</v>
      </c>
      <c r="C15" s="20" t="str">
        <f>'Nhập liệu'!C15</f>
        <v>Marketing</v>
      </c>
      <c r="D15" s="12">
        <f>IFERROR('Nhập liệu'!H15/'Nhập liệu'!G15,0)</f>
        <v>0.806451612903226</v>
      </c>
      <c r="E15" s="6" t="str">
        <f>IF(D15&gt;='Ngưỡng KPI'!$F$7,"Đạt",IF(D15&gt;='Ngưỡng KPI'!$H$7,"Cần theo dõi","Cần xử lý ngay"))</f>
        <v>Đạt</v>
      </c>
      <c r="F15" s="12">
        <f>IFERROR('Nhập liệu'!I15/'Nhập liệu'!G15,0)</f>
        <v>0.0645161290322581</v>
      </c>
      <c r="G15" s="6" t="str">
        <f>IF(F15&lt;='Ngưỡng KPI'!$F$9,"Đạt",IF(F15&lt;='Ngưỡng KPI'!$H$9,"Cần theo dõi","Cần xử lý ngay"))</f>
        <v>Đạt</v>
      </c>
      <c r="H15" s="12">
        <f>IFERROR('Nhập liệu'!J15/'Nhập liệu'!E15,0)</f>
        <v>1</v>
      </c>
      <c r="I15" s="6" t="str">
        <f>IF(H15&gt;='Ngưỡng KPI'!$F$11,"Đạt",IF(H15&gt;='Ngưỡng KPI'!$H$11,"Cần theo dõi","Cần xử lý ngay"))</f>
        <v>Đạt</v>
      </c>
      <c r="J15" s="12">
        <f>IFERROR('Nhập liệu'!L15/('Nhập liệu'!E15*'Nhập liệu'!F15),0)</f>
        <v>0.958333333333333</v>
      </c>
      <c r="K15" s="6" t="str">
        <f>IF(J15&gt;='Ngưỡng KPI'!$F$13,"Đạt",IF(J15&gt;='Ngưỡng KPI'!$H$13,"Cần theo dõi","Cần xử lý ngay"))</f>
        <v>Đạt</v>
      </c>
      <c r="L15" s="21">
        <f>'Nhập liệu'!K15</f>
        <v>33</v>
      </c>
      <c r="M15" s="21">
        <f>'Nhập liệu'!M15</f>
        <v>0</v>
      </c>
      <c r="N15" s="22">
        <f t="shared" si="0"/>
        <v>4</v>
      </c>
    </row>
    <row r="16" spans="1:14">
      <c r="A16" s="19" t="str">
        <f>'Nhập liệu'!A16</f>
        <v>2026-09</v>
      </c>
      <c r="B16" s="19" t="str">
        <f>'Nhập liệu'!B16</f>
        <v>Tháng 9/2026</v>
      </c>
      <c r="C16" s="20" t="str">
        <f>'Nhập liệu'!C16</f>
        <v>Nhân sự</v>
      </c>
      <c r="D16" s="12">
        <f>IFERROR('Nhập liệu'!H16/'Nhập liệu'!G16,0)</f>
        <v>0.909090909090909</v>
      </c>
      <c r="E16" s="6" t="str">
        <f>IF(D16&gt;='Ngưỡng KPI'!$F$7,"Đạt",IF(D16&gt;='Ngưỡng KPI'!$H$7,"Cần theo dõi","Cần xử lý ngay"))</f>
        <v>Đạt</v>
      </c>
      <c r="F16" s="12">
        <f>IFERROR('Nhập liệu'!I16/'Nhập liệu'!G16,0)</f>
        <v>0</v>
      </c>
      <c r="G16" s="6" t="str">
        <f>IF(F16&lt;='Ngưỡng KPI'!$F$9,"Đạt",IF(F16&lt;='Ngưỡng KPI'!$H$9,"Cần theo dõi","Cần xử lý ngay"))</f>
        <v>Đạt</v>
      </c>
      <c r="H16" s="12">
        <f>IFERROR('Nhập liệu'!J16/'Nhập liệu'!E16,0)</f>
        <v>1</v>
      </c>
      <c r="I16" s="6" t="str">
        <f>IF(H16&gt;='Ngưỡng KPI'!$F$11,"Đạt",IF(H16&gt;='Ngưỡng KPI'!$H$11,"Cần theo dõi","Cần xử lý ngay"))</f>
        <v>Đạt</v>
      </c>
      <c r="J16" s="12">
        <f>IFERROR('Nhập liệu'!L16/('Nhập liệu'!E16*'Nhập liệu'!F16),0)</f>
        <v>0.975</v>
      </c>
      <c r="K16" s="6" t="str">
        <f>IF(J16&gt;='Ngưỡng KPI'!$F$13,"Đạt",IF(J16&gt;='Ngưỡng KPI'!$H$13,"Cần theo dõi","Cần xử lý ngay"))</f>
        <v>Đạt</v>
      </c>
      <c r="L16" s="21">
        <f>'Nhập liệu'!K16</f>
        <v>15</v>
      </c>
      <c r="M16" s="21">
        <f>'Nhập liệu'!M16</f>
        <v>0</v>
      </c>
      <c r="N16" s="22">
        <f t="shared" si="0"/>
        <v>4</v>
      </c>
    </row>
  </sheetData>
  <autoFilter xmlns:etc="http://www.wps.cn/officeDocument/2017/etCustomData" ref="A4:N16" etc:filterBottomFollowUsedRange="0">
    <extLst/>
  </autoFilter>
  <conditionalFormatting sqref="E5:E16">
    <cfRule type="cellIs" dxfId="0" priority="1" operator="equal">
      <formula>"Đạt"</formula>
    </cfRule>
    <cfRule type="cellIs" dxfId="1" priority="2" operator="equal">
      <formula>"Cần theo dõi"</formula>
    </cfRule>
    <cfRule type="cellIs" dxfId="2" priority="3" operator="equal">
      <formula>"Cần xử lý ngay"</formula>
    </cfRule>
  </conditionalFormatting>
  <conditionalFormatting sqref="G5:G16">
    <cfRule type="cellIs" dxfId="0" priority="4" operator="equal">
      <formula>"Đạt"</formula>
    </cfRule>
    <cfRule type="cellIs" dxfId="1" priority="5" operator="equal">
      <formula>"Cần theo dõi"</formula>
    </cfRule>
    <cfRule type="cellIs" dxfId="2" priority="6" operator="equal">
      <formula>"Cần xử lý ngay"</formula>
    </cfRule>
  </conditionalFormatting>
  <conditionalFormatting sqref="I5:I16">
    <cfRule type="cellIs" dxfId="0" priority="7" operator="equal">
      <formula>"Đạt"</formula>
    </cfRule>
    <cfRule type="cellIs" dxfId="1" priority="8" operator="equal">
      <formula>"Cần theo dõi"</formula>
    </cfRule>
    <cfRule type="cellIs" dxfId="2" priority="9" operator="equal">
      <formula>"Cần xử lý ngay"</formula>
    </cfRule>
  </conditionalFormatting>
  <conditionalFormatting sqref="K5:K16">
    <cfRule type="cellIs" dxfId="0" priority="10" operator="equal">
      <formula>"Đạt"</formula>
    </cfRule>
    <cfRule type="cellIs" dxfId="1" priority="11" operator="equal">
      <formula>"Cần theo dõi"</formula>
    </cfRule>
    <cfRule type="cellIs" dxfId="2" priority="12" operator="equal">
      <formula>"Cần xử lý ngay"</formula>
    </cfRule>
  </conditionalFormatting>
  <pageMargins left="0.75" right="0.75" top="1" bottom="1" header="0.5" footer="0.5"/>
  <pageSetup paperSize="1" fitToHeight="0" orientation="landscape"/>
  <headerFooter>
    <oddFooter>&amp;C&amp;"Arial"&amp;8 Tài liệu nội bộ — Công ty Demo SME — dùng cho mục đích minh hoạ đồ án&amp;R&amp;"Arial"&amp;8 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0" customWidth="1"/>
    <col min="2" max="3" width="14" customWidth="1"/>
    <col min="4" max="5" width="8" customWidth="1"/>
    <col min="6" max="6" width="10" customWidth="1"/>
    <col min="7" max="7" width="11" customWidth="1"/>
    <col min="8" max="8" width="12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</cols>
  <sheetData>
    <row r="1" ht="22" customHeight="1" spans="1:13">
      <c r="A1" s="1" t="s">
        <v>85</v>
      </c>
    </row>
    <row r="2" spans="1:13">
      <c r="A2" s="2" t="s">
        <v>86</v>
      </c>
    </row>
    <row r="4" ht="44" customHeight="1" spans="1:13">
      <c r="A4" s="3" t="s">
        <v>83</v>
      </c>
      <c r="B4" s="3" t="s">
        <v>76</v>
      </c>
      <c r="C4" s="3" t="s">
        <v>52</v>
      </c>
      <c r="D4" s="3" t="s">
        <v>87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88</v>
      </c>
      <c r="K4" s="3" t="s">
        <v>59</v>
      </c>
      <c r="L4" s="3" t="s">
        <v>60</v>
      </c>
      <c r="M4" s="3" t="s">
        <v>61</v>
      </c>
    </row>
    <row r="5" spans="1:13">
      <c r="A5" s="9" t="s">
        <v>89</v>
      </c>
      <c r="B5" s="9" t="s">
        <v>77</v>
      </c>
      <c r="C5" s="18" t="s">
        <v>68</v>
      </c>
      <c r="D5" s="9" t="s">
        <v>90</v>
      </c>
      <c r="E5" s="10">
        <v>8</v>
      </c>
      <c r="F5" s="10">
        <v>23</v>
      </c>
      <c r="G5" s="10">
        <v>46</v>
      </c>
      <c r="H5" s="10">
        <v>30</v>
      </c>
      <c r="I5" s="10">
        <v>7</v>
      </c>
      <c r="J5" s="10">
        <v>7</v>
      </c>
      <c r="K5" s="10">
        <v>18</v>
      </c>
      <c r="L5" s="10">
        <v>171</v>
      </c>
      <c r="M5" s="10">
        <v>1</v>
      </c>
    </row>
    <row r="6" spans="1:13">
      <c r="A6" s="9" t="s">
        <v>89</v>
      </c>
      <c r="B6" s="9" t="s">
        <v>77</v>
      </c>
      <c r="C6" s="18" t="s">
        <v>69</v>
      </c>
      <c r="D6" s="9" t="s">
        <v>91</v>
      </c>
      <c r="E6" s="10">
        <v>10</v>
      </c>
      <c r="F6" s="10">
        <v>23</v>
      </c>
      <c r="G6" s="10">
        <v>64</v>
      </c>
      <c r="H6" s="10">
        <v>55</v>
      </c>
      <c r="I6" s="10">
        <v>3</v>
      </c>
      <c r="J6" s="10">
        <v>10</v>
      </c>
      <c r="K6" s="10">
        <v>31</v>
      </c>
      <c r="L6" s="10">
        <v>223</v>
      </c>
      <c r="M6" s="10">
        <v>1</v>
      </c>
    </row>
    <row r="7" spans="1:13">
      <c r="A7" s="9" t="s">
        <v>89</v>
      </c>
      <c r="B7" s="9" t="s">
        <v>77</v>
      </c>
      <c r="C7" s="18" t="s">
        <v>70</v>
      </c>
      <c r="D7" s="9" t="s">
        <v>92</v>
      </c>
      <c r="E7" s="10">
        <v>6</v>
      </c>
      <c r="F7" s="10">
        <v>23</v>
      </c>
      <c r="G7" s="10">
        <v>28</v>
      </c>
      <c r="H7" s="10">
        <v>22</v>
      </c>
      <c r="I7" s="10">
        <v>3</v>
      </c>
      <c r="J7" s="10">
        <v>5</v>
      </c>
      <c r="K7" s="10">
        <v>26</v>
      </c>
      <c r="L7" s="10">
        <v>131</v>
      </c>
      <c r="M7" s="10">
        <v>0</v>
      </c>
    </row>
    <row r="8" spans="1:13">
      <c r="A8" s="9" t="s">
        <v>89</v>
      </c>
      <c r="B8" s="9" t="s">
        <v>77</v>
      </c>
      <c r="C8" s="18" t="s">
        <v>71</v>
      </c>
      <c r="D8" s="9" t="s">
        <v>93</v>
      </c>
      <c r="E8" s="10">
        <v>4</v>
      </c>
      <c r="F8" s="10">
        <v>23</v>
      </c>
      <c r="G8" s="10">
        <v>18</v>
      </c>
      <c r="H8" s="10">
        <v>16</v>
      </c>
      <c r="I8" s="10">
        <v>1</v>
      </c>
      <c r="J8" s="10">
        <v>4</v>
      </c>
      <c r="K8" s="10">
        <v>14</v>
      </c>
      <c r="L8" s="10">
        <v>90</v>
      </c>
      <c r="M8" s="10">
        <v>0</v>
      </c>
    </row>
    <row r="9" spans="1:13">
      <c r="A9" s="9" t="s">
        <v>94</v>
      </c>
      <c r="B9" s="9" t="s">
        <v>78</v>
      </c>
      <c r="C9" s="18" t="s">
        <v>68</v>
      </c>
      <c r="D9" s="9" t="s">
        <v>90</v>
      </c>
      <c r="E9" s="10">
        <v>8</v>
      </c>
      <c r="F9" s="10">
        <v>21</v>
      </c>
      <c r="G9" s="10">
        <v>52</v>
      </c>
      <c r="H9" s="10">
        <v>35</v>
      </c>
      <c r="I9" s="10">
        <v>8</v>
      </c>
      <c r="J9" s="10">
        <v>8</v>
      </c>
      <c r="K9" s="10">
        <v>21</v>
      </c>
      <c r="L9" s="10">
        <v>155</v>
      </c>
      <c r="M9" s="10">
        <v>1</v>
      </c>
    </row>
    <row r="10" spans="1:13">
      <c r="A10" s="9" t="s">
        <v>94</v>
      </c>
      <c r="B10" s="9" t="s">
        <v>78</v>
      </c>
      <c r="C10" s="18" t="s">
        <v>69</v>
      </c>
      <c r="D10" s="9" t="s">
        <v>91</v>
      </c>
      <c r="E10" s="10">
        <v>10</v>
      </c>
      <c r="F10" s="10">
        <v>21</v>
      </c>
      <c r="G10" s="10">
        <v>70</v>
      </c>
      <c r="H10" s="10">
        <v>61</v>
      </c>
      <c r="I10" s="10">
        <v>2</v>
      </c>
      <c r="J10" s="10">
        <v>10</v>
      </c>
      <c r="K10" s="10">
        <v>35</v>
      </c>
      <c r="L10" s="10">
        <v>202</v>
      </c>
      <c r="M10" s="10">
        <v>0</v>
      </c>
    </row>
    <row r="11" spans="1:13">
      <c r="A11" s="9" t="s">
        <v>94</v>
      </c>
      <c r="B11" s="9" t="s">
        <v>78</v>
      </c>
      <c r="C11" s="18" t="s">
        <v>70</v>
      </c>
      <c r="D11" s="9" t="s">
        <v>92</v>
      </c>
      <c r="E11" s="10">
        <v>6</v>
      </c>
      <c r="F11" s="10">
        <v>21</v>
      </c>
      <c r="G11" s="10">
        <v>34</v>
      </c>
      <c r="H11" s="10">
        <v>26</v>
      </c>
      <c r="I11" s="10">
        <v>4</v>
      </c>
      <c r="J11" s="10">
        <v>6</v>
      </c>
      <c r="K11" s="10">
        <v>29</v>
      </c>
      <c r="L11" s="10">
        <v>118</v>
      </c>
      <c r="M11" s="10">
        <v>1</v>
      </c>
    </row>
    <row r="12" spans="1:13">
      <c r="A12" s="9" t="s">
        <v>94</v>
      </c>
      <c r="B12" s="9" t="s">
        <v>78</v>
      </c>
      <c r="C12" s="18" t="s">
        <v>71</v>
      </c>
      <c r="D12" s="9" t="s">
        <v>93</v>
      </c>
      <c r="E12" s="10">
        <v>4</v>
      </c>
      <c r="F12" s="10">
        <v>21</v>
      </c>
      <c r="G12" s="10">
        <v>20</v>
      </c>
      <c r="H12" s="10">
        <v>17</v>
      </c>
      <c r="I12" s="10">
        <v>1</v>
      </c>
      <c r="J12" s="10">
        <v>4</v>
      </c>
      <c r="K12" s="10">
        <v>12</v>
      </c>
      <c r="L12" s="10">
        <v>81</v>
      </c>
      <c r="M12" s="10">
        <v>0</v>
      </c>
    </row>
    <row r="13" spans="1:13">
      <c r="A13" s="9" t="s">
        <v>95</v>
      </c>
      <c r="B13" s="9" t="s">
        <v>79</v>
      </c>
      <c r="C13" s="18" t="s">
        <v>68</v>
      </c>
      <c r="D13" s="9" t="s">
        <v>90</v>
      </c>
      <c r="E13" s="10">
        <v>8</v>
      </c>
      <c r="F13" s="10">
        <v>20</v>
      </c>
      <c r="G13" s="10">
        <v>49</v>
      </c>
      <c r="H13" s="10">
        <v>36</v>
      </c>
      <c r="I13" s="10">
        <v>5</v>
      </c>
      <c r="J13" s="10">
        <v>8</v>
      </c>
      <c r="K13" s="10">
        <v>24</v>
      </c>
      <c r="L13" s="10">
        <v>150</v>
      </c>
      <c r="M13" s="10">
        <v>0</v>
      </c>
    </row>
    <row r="14" spans="1:13">
      <c r="A14" s="9" t="s">
        <v>95</v>
      </c>
      <c r="B14" s="9" t="s">
        <v>79</v>
      </c>
      <c r="C14" s="18" t="s">
        <v>69</v>
      </c>
      <c r="D14" s="9" t="s">
        <v>91</v>
      </c>
      <c r="E14" s="10">
        <v>10</v>
      </c>
      <c r="F14" s="10">
        <v>20</v>
      </c>
      <c r="G14" s="10">
        <v>72</v>
      </c>
      <c r="H14" s="10">
        <v>64</v>
      </c>
      <c r="I14" s="10">
        <v>2</v>
      </c>
      <c r="J14" s="10">
        <v>10</v>
      </c>
      <c r="K14" s="10">
        <v>38</v>
      </c>
      <c r="L14" s="10">
        <v>194</v>
      </c>
      <c r="M14" s="10">
        <v>1</v>
      </c>
    </row>
    <row r="15" spans="1:13">
      <c r="A15" s="9" t="s">
        <v>95</v>
      </c>
      <c r="B15" s="9" t="s">
        <v>79</v>
      </c>
      <c r="C15" s="18" t="s">
        <v>70</v>
      </c>
      <c r="D15" s="9" t="s">
        <v>92</v>
      </c>
      <c r="E15" s="10">
        <v>6</v>
      </c>
      <c r="F15" s="10">
        <v>20</v>
      </c>
      <c r="G15" s="10">
        <v>31</v>
      </c>
      <c r="H15" s="10">
        <v>25</v>
      </c>
      <c r="I15" s="10">
        <v>2</v>
      </c>
      <c r="J15" s="10">
        <v>6</v>
      </c>
      <c r="K15" s="10">
        <v>33</v>
      </c>
      <c r="L15" s="10">
        <v>115</v>
      </c>
      <c r="M15" s="10">
        <v>0</v>
      </c>
    </row>
    <row r="16" spans="1:13">
      <c r="A16" s="9" t="s">
        <v>95</v>
      </c>
      <c r="B16" s="9" t="s">
        <v>79</v>
      </c>
      <c r="C16" s="18" t="s">
        <v>71</v>
      </c>
      <c r="D16" s="9" t="s">
        <v>93</v>
      </c>
      <c r="E16" s="10">
        <v>4</v>
      </c>
      <c r="F16" s="10">
        <v>20</v>
      </c>
      <c r="G16" s="10">
        <v>22</v>
      </c>
      <c r="H16" s="10">
        <v>20</v>
      </c>
      <c r="I16" s="10">
        <v>0</v>
      </c>
      <c r="J16" s="10">
        <v>4</v>
      </c>
      <c r="K16" s="10">
        <v>15</v>
      </c>
      <c r="L16" s="10">
        <v>78</v>
      </c>
      <c r="M16" s="10">
        <v>0</v>
      </c>
    </row>
  </sheetData>
  <autoFilter xmlns:etc="http://www.wps.cn/officeDocument/2017/etCustomData" ref="A4:M16" etc:filterBottomFollowUsedRange="0">
    <extLst/>
  </autoFilter>
  <dataValidations count="1">
    <dataValidation type="list" allowBlank="1" showInputMessage="1" showErrorMessage="1" errorTitle="Dữ liệu không hợp lệ" error="Giá trị không nằm trong danh sách cho phép." promptTitle="Chọn giá trị" prompt="Chọn phòng ban" sqref="C5:C200">
      <formula1>"Kinh doanh,Kỹ thuật,Marketing,Nhân sự"</formula1>
    </dataValidation>
  </dataValidations>
  <pageMargins left="0.75" right="0.75" top="1" bottom="1" header="0.5" footer="0.5"/>
  <pageSetup paperSize="1" fitToHeight="0" orientation="landscape"/>
  <headerFooter>
    <oddFooter>&amp;C&amp;"Arial"&amp;8 Tài liệu nội bộ — Công ty Demo SME — dùng cho mục đích minh hoạ đồ án&amp;R&amp;"Arial"&amp;8 Trang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3.2" outlineLevelCol="5"/>
  <cols>
    <col min="1" max="1" width="10" customWidth="1"/>
    <col min="2" max="2" width="14" customWidth="1"/>
    <col min="3" max="3" width="11" customWidth="1"/>
    <col min="4" max="4" width="14" customWidth="1"/>
    <col min="5" max="5" width="18" customWidth="1"/>
    <col min="6" max="6" width="20" customWidth="1"/>
  </cols>
  <sheetData>
    <row r="1" ht="22" customHeight="1" spans="1:6">
      <c r="A1" s="1" t="s">
        <v>96</v>
      </c>
    </row>
    <row r="2" spans="1:6">
      <c r="A2" s="2" t="s">
        <v>97</v>
      </c>
    </row>
    <row r="4" ht="44" customHeight="1" spans="1:6">
      <c r="A4" s="3" t="s">
        <v>83</v>
      </c>
      <c r="B4" s="3" t="s">
        <v>76</v>
      </c>
      <c r="C4" s="3" t="s">
        <v>98</v>
      </c>
      <c r="D4" s="3" t="s">
        <v>99</v>
      </c>
      <c r="E4" s="3" t="s">
        <v>100</v>
      </c>
      <c r="F4" s="3" t="s">
        <v>101</v>
      </c>
    </row>
    <row r="5" spans="1:6">
      <c r="A5" s="9" t="s">
        <v>89</v>
      </c>
      <c r="B5" s="9" t="s">
        <v>77</v>
      </c>
      <c r="C5" s="10">
        <v>9</v>
      </c>
      <c r="D5" s="10">
        <v>1240</v>
      </c>
      <c r="E5" s="11">
        <f>IFERROR(D5/C5,0)</f>
        <v>137.777777777778</v>
      </c>
      <c r="F5" s="12" t="s">
        <v>102</v>
      </c>
    </row>
    <row r="6" spans="1:6">
      <c r="A6" s="9" t="s">
        <v>94</v>
      </c>
      <c r="B6" s="9" t="s">
        <v>78</v>
      </c>
      <c r="C6" s="10">
        <v>11</v>
      </c>
      <c r="D6" s="10">
        <v>1385</v>
      </c>
      <c r="E6" s="11">
        <f>IFERROR(D6/C6,0)</f>
        <v>125.909090909091</v>
      </c>
      <c r="F6" s="12">
        <f>IFERROR(D6/D5-1,0)</f>
        <v>0.116935483870968</v>
      </c>
    </row>
    <row r="7" spans="1:6">
      <c r="A7" s="9" t="s">
        <v>95</v>
      </c>
      <c r="B7" s="9" t="s">
        <v>79</v>
      </c>
      <c r="C7" s="10">
        <v>14</v>
      </c>
      <c r="D7" s="10">
        <v>1610</v>
      </c>
      <c r="E7" s="11">
        <f>IFERROR(D7/C7,0)</f>
        <v>115</v>
      </c>
      <c r="F7" s="12">
        <f>IFERROR(D7/D6-1,0)</f>
        <v>0.162454873646209</v>
      </c>
    </row>
    <row r="8" ht="26.4" spans="1:6">
      <c r="A8" s="13" t="s">
        <v>103</v>
      </c>
      <c r="B8" s="13" t="s">
        <v>104</v>
      </c>
      <c r="C8" s="14">
        <f>SUM(C5:C7)</f>
        <v>34</v>
      </c>
      <c r="D8" s="14">
        <f>SUM(D5:D7)</f>
        <v>4235</v>
      </c>
      <c r="E8" s="15">
        <f>IFERROR(D8/C8,0)</f>
        <v>124.558823529412</v>
      </c>
      <c r="F8" s="16">
        <f>IFERROR(D7/D5-1,0)</f>
        <v>0.298387096774194</v>
      </c>
    </row>
    <row r="10" spans="1:6">
      <c r="A10" s="17" t="s">
        <v>105</v>
      </c>
    </row>
  </sheetData>
  <autoFilter xmlns:etc="http://www.wps.cn/officeDocument/2017/etCustomData" ref="A4:F8" etc:filterBottomFollowUsedRange="0">
    <extLst/>
  </autoFilter>
  <pageMargins left="0.75" right="0.75" top="1" bottom="1" header="0.5" footer="0.5"/>
  <pageSetup paperSize="1" fitToHeight="0" orientation="landscape"/>
  <headerFooter>
    <oddFooter>&amp;C&amp;"Arial"&amp;8 Tài liệu nội bộ — Công ty Demo SME — dùng cho mục đích minh hoạ đồ án&amp;R&amp;"Arial"&amp;8 Trang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7" customWidth="1"/>
    <col min="2" max="2" width="26" customWidth="1"/>
    <col min="3" max="4" width="11" customWidth="1"/>
    <col min="5" max="5" width="18" customWidth="1"/>
    <col min="6" max="6" width="11" customWidth="1"/>
    <col min="7" max="7" width="12" customWidth="1"/>
    <col min="8" max="8" width="13" customWidth="1"/>
    <col min="9" max="9" width="36" customWidth="1"/>
    <col min="10" max="10" width="60" customWidth="1"/>
  </cols>
  <sheetData>
    <row r="1" ht="22" customHeight="1" spans="1:10">
      <c r="A1" s="1" t="s">
        <v>106</v>
      </c>
    </row>
    <row r="2" spans="1:10">
      <c r="A2" s="2" t="s">
        <v>107</v>
      </c>
    </row>
    <row r="4" ht="32" customHeight="1" spans="1:10">
      <c r="A4" s="3" t="s">
        <v>108</v>
      </c>
      <c r="B4" s="3" t="s">
        <v>109</v>
      </c>
      <c r="C4" s="3" t="s">
        <v>5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19</v>
      </c>
      <c r="J4" s="3" t="s">
        <v>115</v>
      </c>
    </row>
    <row r="5" ht="22.8" spans="1:10">
      <c r="A5" s="4" t="s">
        <v>116</v>
      </c>
      <c r="B5" s="5" t="s">
        <v>55</v>
      </c>
      <c r="C5" s="6" t="s">
        <v>117</v>
      </c>
      <c r="D5" s="6" t="s">
        <v>118</v>
      </c>
      <c r="E5" s="4" t="s">
        <v>119</v>
      </c>
      <c r="F5" s="6" t="s">
        <v>102</v>
      </c>
      <c r="G5" s="6" t="s">
        <v>102</v>
      </c>
      <c r="H5" s="6" t="s">
        <v>102</v>
      </c>
      <c r="I5" s="4" t="s">
        <v>120</v>
      </c>
      <c r="J5" s="7" t="s">
        <v>121</v>
      </c>
    </row>
    <row r="6" ht="22.8" spans="1:10">
      <c r="A6" s="4" t="s">
        <v>122</v>
      </c>
      <c r="B6" s="5" t="s">
        <v>56</v>
      </c>
      <c r="C6" s="6" t="s">
        <v>117</v>
      </c>
      <c r="D6" s="6" t="s">
        <v>118</v>
      </c>
      <c r="E6" s="4" t="s">
        <v>123</v>
      </c>
      <c r="F6" s="6" t="s">
        <v>102</v>
      </c>
      <c r="G6" s="6" t="s">
        <v>102</v>
      </c>
      <c r="H6" s="6" t="s">
        <v>102</v>
      </c>
      <c r="I6" s="4" t="s">
        <v>120</v>
      </c>
      <c r="J6" s="7" t="s">
        <v>124</v>
      </c>
    </row>
    <row r="7" spans="1:10">
      <c r="A7" s="4" t="s">
        <v>125</v>
      </c>
      <c r="B7" s="5" t="s">
        <v>62</v>
      </c>
      <c r="C7" s="6" t="s">
        <v>126</v>
      </c>
      <c r="D7" s="6" t="s">
        <v>127</v>
      </c>
      <c r="E7" s="4" t="s">
        <v>123</v>
      </c>
      <c r="F7" s="8">
        <v>0.8</v>
      </c>
      <c r="G7" s="8">
        <v>0.8</v>
      </c>
      <c r="H7" s="8">
        <v>0.7</v>
      </c>
      <c r="I7" s="4" t="s">
        <v>128</v>
      </c>
      <c r="J7" s="7" t="s">
        <v>129</v>
      </c>
    </row>
    <row r="8" ht="22.8" spans="1:10">
      <c r="A8" s="4" t="s">
        <v>130</v>
      </c>
      <c r="B8" s="5" t="s">
        <v>57</v>
      </c>
      <c r="C8" s="6" t="s">
        <v>117</v>
      </c>
      <c r="D8" s="6" t="s">
        <v>118</v>
      </c>
      <c r="E8" s="4" t="s">
        <v>131</v>
      </c>
      <c r="F8" s="6" t="s">
        <v>102</v>
      </c>
      <c r="G8" s="6" t="s">
        <v>102</v>
      </c>
      <c r="H8" s="6" t="s">
        <v>102</v>
      </c>
      <c r="I8" s="4" t="s">
        <v>120</v>
      </c>
      <c r="J8" s="7" t="s">
        <v>132</v>
      </c>
    </row>
    <row r="9" spans="1:10">
      <c r="A9" s="4" t="s">
        <v>133</v>
      </c>
      <c r="B9" s="5" t="s">
        <v>134</v>
      </c>
      <c r="C9" s="6" t="s">
        <v>126</v>
      </c>
      <c r="D9" s="6" t="s">
        <v>127</v>
      </c>
      <c r="E9" s="4" t="s">
        <v>131</v>
      </c>
      <c r="F9" s="8">
        <v>0.08</v>
      </c>
      <c r="G9" s="8">
        <v>0.08</v>
      </c>
      <c r="H9" s="8">
        <v>0.12</v>
      </c>
      <c r="I9" s="4" t="s">
        <v>135</v>
      </c>
      <c r="J9" s="7" t="s">
        <v>136</v>
      </c>
    </row>
    <row r="10" ht="22.8" spans="1:10">
      <c r="A10" s="4" t="s">
        <v>137</v>
      </c>
      <c r="B10" s="5" t="s">
        <v>88</v>
      </c>
      <c r="C10" s="6" t="s">
        <v>138</v>
      </c>
      <c r="D10" s="6" t="s">
        <v>118</v>
      </c>
      <c r="E10" s="4" t="s">
        <v>123</v>
      </c>
      <c r="F10" s="6" t="s">
        <v>102</v>
      </c>
      <c r="G10" s="6" t="s">
        <v>102</v>
      </c>
      <c r="H10" s="6" t="s">
        <v>102</v>
      </c>
      <c r="I10" s="4" t="s">
        <v>120</v>
      </c>
      <c r="J10" s="7" t="s">
        <v>139</v>
      </c>
    </row>
    <row r="11" spans="1:10">
      <c r="A11" s="4" t="s">
        <v>140</v>
      </c>
      <c r="B11" s="5" t="s">
        <v>65</v>
      </c>
      <c r="C11" s="6" t="s">
        <v>126</v>
      </c>
      <c r="D11" s="6" t="s">
        <v>127</v>
      </c>
      <c r="E11" s="4" t="s">
        <v>123</v>
      </c>
      <c r="F11" s="8">
        <v>0.95</v>
      </c>
      <c r="G11" s="8">
        <v>0.95</v>
      </c>
      <c r="H11" s="8">
        <v>0.85</v>
      </c>
      <c r="I11" s="4" t="s">
        <v>141</v>
      </c>
      <c r="J11" s="7" t="s">
        <v>142</v>
      </c>
    </row>
    <row r="12" ht="22.8" spans="1:10">
      <c r="A12" s="4" t="s">
        <v>143</v>
      </c>
      <c r="B12" s="5" t="s">
        <v>59</v>
      </c>
      <c r="C12" s="6" t="s">
        <v>144</v>
      </c>
      <c r="D12" s="6" t="s">
        <v>118</v>
      </c>
      <c r="E12" s="4" t="s">
        <v>123</v>
      </c>
      <c r="F12" s="6" t="s">
        <v>102</v>
      </c>
      <c r="G12" s="6" t="s">
        <v>102</v>
      </c>
      <c r="H12" s="6" t="s">
        <v>102</v>
      </c>
      <c r="I12" s="4" t="s">
        <v>120</v>
      </c>
      <c r="J12" s="7" t="s">
        <v>145</v>
      </c>
    </row>
    <row r="13" spans="1:10">
      <c r="A13" s="4" t="s">
        <v>146</v>
      </c>
      <c r="B13" s="5" t="s">
        <v>66</v>
      </c>
      <c r="C13" s="6" t="s">
        <v>126</v>
      </c>
      <c r="D13" s="6" t="s">
        <v>127</v>
      </c>
      <c r="E13" s="4" t="s">
        <v>123</v>
      </c>
      <c r="F13" s="8">
        <v>0.95</v>
      </c>
      <c r="G13" s="8">
        <v>0.95</v>
      </c>
      <c r="H13" s="8">
        <v>0.9</v>
      </c>
      <c r="I13" s="4" t="s">
        <v>147</v>
      </c>
      <c r="J13" s="7" t="s">
        <v>148</v>
      </c>
    </row>
    <row r="14" spans="1:10">
      <c r="A14" s="4" t="s">
        <v>149</v>
      </c>
      <c r="B14" s="5" t="s">
        <v>61</v>
      </c>
      <c r="C14" s="6" t="s">
        <v>138</v>
      </c>
      <c r="D14" s="6" t="s">
        <v>118</v>
      </c>
      <c r="E14" s="4" t="s">
        <v>131</v>
      </c>
      <c r="F14" s="6" t="s">
        <v>102</v>
      </c>
      <c r="G14" s="6" t="s">
        <v>102</v>
      </c>
      <c r="H14" s="6" t="s">
        <v>102</v>
      </c>
      <c r="I14" s="4" t="s">
        <v>120</v>
      </c>
      <c r="J14" s="7" t="s">
        <v>150</v>
      </c>
    </row>
  </sheetData>
  <autoFilter xmlns:etc="http://www.wps.cn/officeDocument/2017/etCustomData" ref="A4:J14" etc:filterBottomFollowUsedRange="0">
    <extLst/>
  </autoFilter>
  <pageMargins left="0.75" right="0.75" top="1" bottom="1" header="0.5" footer="0.5"/>
  <pageSetup paperSize="1" fitToHeight="0" orientation="landscape"/>
  <headerFooter>
    <oddFooter>&amp;C&amp;"Arial"&amp;8 Tài liệu nội bộ — Công ty Demo SME — dùng cho mục đích minh hoạ đồ án&amp;R&amp;"Arial"&amp;8 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Thông tin</vt:lpstr>
      <vt:lpstr>Tổng hợp</vt:lpstr>
      <vt:lpstr>Tính KPI</vt:lpstr>
      <vt:lpstr>Nhập liệu</vt:lpstr>
      <vt:lpstr>Doanh số</vt:lpstr>
      <vt:lpstr>Ngưỡng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2026-10-26T06:51:00Z</dcterms:created>
  <dcterms:modified xsi:type="dcterms:W3CDTF">2026-10-26T06:52:07Z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9D7146B485B04974BE6AB9119C408F8E_12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